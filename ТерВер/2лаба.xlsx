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ерВер\"/>
    </mc:Choice>
  </mc:AlternateContent>
  <xr:revisionPtr revIDLastSave="0" documentId="8_{869CA226-349B-42C7-A055-0662811788D1}" xr6:coauthVersionLast="47" xr6:coauthVersionMax="47" xr10:uidLastSave="{00000000-0000-0000-0000-000000000000}"/>
  <bookViews>
    <workbookView xWindow="-108" yWindow="-108" windowWidth="23256" windowHeight="12456" xr2:uid="{F1F51D93-7F03-4D9F-A3BE-1A2026D1BF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1" l="1" a="1"/>
  <c r="D70" i="1" s="1"/>
  <c r="F70" i="1" s="1"/>
  <c r="A70" i="1" a="1"/>
  <c r="A70" i="1" s="1"/>
  <c r="F65" i="1"/>
  <c r="F19" i="1"/>
  <c r="D65" i="1"/>
  <c r="D19" i="1"/>
  <c r="B65" i="1"/>
  <c r="E63" i="1"/>
  <c r="D63" i="1"/>
  <c r="C63" i="1"/>
  <c r="B63" i="1"/>
  <c r="A63" i="1"/>
  <c r="E54" i="1"/>
  <c r="E55" i="1"/>
  <c r="E56" i="1"/>
  <c r="E57" i="1"/>
  <c r="E58" i="1"/>
  <c r="E59" i="1"/>
  <c r="E60" i="1"/>
  <c r="E61" i="1"/>
  <c r="E62" i="1"/>
  <c r="D62" i="1"/>
  <c r="D61" i="1"/>
  <c r="D60" i="1"/>
  <c r="D59" i="1"/>
  <c r="D58" i="1"/>
  <c r="D57" i="1"/>
  <c r="D56" i="1"/>
  <c r="D55" i="1"/>
  <c r="D54" i="1"/>
  <c r="C62" i="1"/>
  <c r="C61" i="1"/>
  <c r="C60" i="1"/>
  <c r="C59" i="1"/>
  <c r="C58" i="1"/>
  <c r="C57" i="1"/>
  <c r="C56" i="1"/>
  <c r="C55" i="1"/>
  <c r="C54" i="1"/>
  <c r="B62" i="1"/>
  <c r="B61" i="1"/>
  <c r="B60" i="1"/>
  <c r="B59" i="1"/>
  <c r="B58" i="1"/>
  <c r="B57" i="1"/>
  <c r="B55" i="1"/>
  <c r="B56" i="1"/>
  <c r="B54" i="1"/>
  <c r="B19" i="1"/>
  <c r="F16" i="1"/>
  <c r="F15" i="1"/>
  <c r="F14" i="1"/>
  <c r="F13" i="1"/>
  <c r="F12" i="1"/>
  <c r="F11" i="1"/>
  <c r="F10" i="1"/>
  <c r="F9" i="1"/>
  <c r="F8" i="1"/>
  <c r="F17" i="1" s="1"/>
  <c r="E16" i="1"/>
  <c r="E15" i="1"/>
  <c r="E14" i="1"/>
  <c r="E13" i="1"/>
  <c r="D12" i="1"/>
  <c r="E12" i="1"/>
  <c r="E11" i="1"/>
  <c r="E10" i="1"/>
  <c r="E9" i="1"/>
  <c r="E8" i="1"/>
  <c r="D16" i="1"/>
  <c r="D15" i="1"/>
  <c r="D14" i="1"/>
  <c r="D13" i="1"/>
  <c r="D11" i="1"/>
  <c r="D10" i="1"/>
  <c r="D9" i="1"/>
  <c r="D8" i="1"/>
  <c r="C17" i="1"/>
  <c r="B17" i="1"/>
  <c r="F71" i="1" l="1"/>
  <c r="D17" i="1"/>
  <c r="E17" i="1"/>
  <c r="D71" i="1"/>
  <c r="B71" i="1"/>
  <c r="A71" i="1"/>
  <c r="B7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<sst xmlns="http://schemas.openxmlformats.org/spreadsheetml/2006/main" count="52" uniqueCount="37">
  <si>
    <t xml:space="preserve">вариант </t>
  </si>
  <si>
    <t>задание</t>
  </si>
  <si>
    <t>Т,ч</t>
  </si>
  <si>
    <t>К</t>
  </si>
  <si>
    <t>установить зависимость кислотности молока от времени культивирования  молочнокислых бактерий</t>
  </si>
  <si>
    <t>сумма</t>
  </si>
  <si>
    <t>xi</t>
  </si>
  <si>
    <t>yi</t>
  </si>
  <si>
    <t>xiyi</t>
  </si>
  <si>
    <t>xi^2</t>
  </si>
  <si>
    <t>yi^2</t>
  </si>
  <si>
    <t>n=</t>
  </si>
  <si>
    <t>r=</t>
  </si>
  <si>
    <t>t расч=</t>
  </si>
  <si>
    <t>t табл=</t>
  </si>
  <si>
    <t>система нормальных уравнений</t>
  </si>
  <si>
    <t>371=</t>
  </si>
  <si>
    <t>9b0+36b1</t>
  </si>
  <si>
    <t>2868=</t>
  </si>
  <si>
    <t>36b0+204b1</t>
  </si>
  <si>
    <t>b0=</t>
  </si>
  <si>
    <t>10.956</t>
  </si>
  <si>
    <t>7.567</t>
  </si>
  <si>
    <t>b1=</t>
  </si>
  <si>
    <t>y'=</t>
  </si>
  <si>
    <t>10.956+</t>
  </si>
  <si>
    <t>7.567x</t>
  </si>
  <si>
    <t>если х=0</t>
  </si>
  <si>
    <t>то у'=</t>
  </si>
  <si>
    <t>если х=1</t>
  </si>
  <si>
    <t>18.253</t>
  </si>
  <si>
    <t>xi=1/xi</t>
  </si>
  <si>
    <t>yi=1/yi</t>
  </si>
  <si>
    <t>xi=xi</t>
  </si>
  <si>
    <t>yi=lnyi</t>
  </si>
  <si>
    <t>a=e^b0 =</t>
  </si>
  <si>
    <t>b=b1=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</si>
</sst>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/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thin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medium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6" xfId="0" applyFill="1" applyBorder="1"/>
    <xf numFmtId="0" fontId="0" fillId="3" borderId="10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9" xfId="0" applyFill="1" applyBorder="1"/>
    <xf numFmtId="0" fontId="0" fillId="3" borderId="25" xfId="0" applyFill="1" applyBorder="1"/>
    <xf numFmtId="0" fontId="0" fillId="3" borderId="5" xfId="0" applyFill="1" applyBorder="1"/>
    <xf numFmtId="0" fontId="0" fillId="3" borderId="16" xfId="0" applyFill="1" applyBorder="1"/>
    <xf numFmtId="0" fontId="0" fillId="3" borderId="20" xfId="0" applyFill="1" applyBorder="1"/>
    <xf numFmtId="0" fontId="0" fillId="3" borderId="17" xfId="0" applyFill="1" applyBorder="1"/>
    <xf numFmtId="0" fontId="0" fillId="3" borderId="21" xfId="0" applyFill="1" applyBorder="1"/>
    <xf numFmtId="0" fontId="0" fillId="3" borderId="18" xfId="0" applyFill="1" applyBorder="1"/>
    <xf numFmtId="0" fontId="0" fillId="3" borderId="22" xfId="0" applyFill="1" applyBorder="1"/>
    <xf numFmtId="0" fontId="0" fillId="3" borderId="19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14" xfId="0" applyFill="1" applyBorder="1"/>
    <xf numFmtId="0" fontId="0" fillId="3" borderId="26" xfId="0" applyFill="1" applyBorder="1"/>
    <xf numFmtId="0" fontId="0" fillId="3" borderId="15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00"/>
      <color rgb="FFEF5BCF"/>
      <color rgb="FFB71BB0"/>
      <color rgb="FFDA6AF0"/>
      <color rgb="FFFF66CC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Лист1!$B$5:$J$5</c:f>
              <c:numCache>
                <c:formatCode>General</c:formatCode>
                <c:ptCount val="9"/>
                <c:pt idx="0">
                  <c:v>19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33</c:v>
                </c:pt>
                <c:pt idx="5">
                  <c:v>46</c:v>
                </c:pt>
                <c:pt idx="6">
                  <c:v>60</c:v>
                </c:pt>
                <c:pt idx="7">
                  <c:v>63</c:v>
                </c:pt>
                <c:pt idx="8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4-4F67-9391-172012532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373696"/>
        <c:axId val="559370368"/>
      </c:scatterChart>
      <c:valAx>
        <c:axId val="55937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9370368"/>
        <c:crosses val="autoZero"/>
        <c:crossBetween val="midCat"/>
      </c:valAx>
      <c:valAx>
        <c:axId val="55937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9373696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solidFill>
            <a:schemeClr val="bg2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FF66CC"/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B71BB0"/>
                </a:solidFill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rgbClr val="B71BB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196796376775395"/>
                  <c:y val="-0.23888832554391973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rgbClr val="DA6AF0"/>
                </a:solidFill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5059399710625793"/>
                  <c:y val="-0.17498487205215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rgbClr val="B71BB0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bg1">
                    <a:lumMod val="75000"/>
                  </a:schemeClr>
                </a:solidFill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2.6773030533274091E-2"/>
                  <c:y val="-9.78032352759216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wer"/>
            <c:dispRSqr val="0"/>
            <c:dispEq val="0"/>
          </c:trendline>
          <c:xVal>
            <c:numRef>
              <c:f>Лист1!$B$4:$J$4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Лист1!$B$5:$J$5</c:f>
              <c:numCache>
                <c:formatCode>General</c:formatCode>
                <c:ptCount val="9"/>
                <c:pt idx="0">
                  <c:v>19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33</c:v>
                </c:pt>
                <c:pt idx="5">
                  <c:v>46</c:v>
                </c:pt>
                <c:pt idx="6">
                  <c:v>60</c:v>
                </c:pt>
                <c:pt idx="7">
                  <c:v>63</c:v>
                </c:pt>
                <c:pt idx="8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A-4826-BD4C-797FCC0F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204944"/>
        <c:axId val="462205776"/>
      </c:scatterChart>
      <c:valAx>
        <c:axId val="4622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62205776"/>
        <c:crosses val="autoZero"/>
        <c:crossBetween val="midCat"/>
      </c:valAx>
      <c:valAx>
        <c:axId val="46220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62204944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solidFill>
            <a:schemeClr val="bg2">
              <a:lumMod val="7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 поле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00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157275500248047"/>
                  <c:y val="-0.64774467571322281"/>
                </c:manualLayout>
              </c:layout>
              <c:numFmt formatCode="General" sourceLinked="0"/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Лист1!$A$29:$A$37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0.5</c:v>
                </c:pt>
                <c:pt idx="3">
                  <c:v>0.33</c:v>
                </c:pt>
                <c:pt idx="4">
                  <c:v>0.25</c:v>
                </c:pt>
                <c:pt idx="5">
                  <c:v>0.2</c:v>
                </c:pt>
                <c:pt idx="6">
                  <c:v>0.16669999999999999</c:v>
                </c:pt>
                <c:pt idx="7">
                  <c:v>0.1429</c:v>
                </c:pt>
                <c:pt idx="8">
                  <c:v>0.125</c:v>
                </c:pt>
              </c:numCache>
            </c:numRef>
          </c:xVal>
          <c:yVal>
            <c:numRef>
              <c:f>Лист1!$B$29:$B$37</c:f>
              <c:numCache>
                <c:formatCode>General</c:formatCode>
                <c:ptCount val="9"/>
                <c:pt idx="0">
                  <c:v>19</c:v>
                </c:pt>
                <c:pt idx="1">
                  <c:v>21</c:v>
                </c:pt>
                <c:pt idx="2">
                  <c:v>23</c:v>
                </c:pt>
                <c:pt idx="3">
                  <c:v>28</c:v>
                </c:pt>
                <c:pt idx="4">
                  <c:v>33</c:v>
                </c:pt>
                <c:pt idx="5">
                  <c:v>46</c:v>
                </c:pt>
                <c:pt idx="6">
                  <c:v>60</c:v>
                </c:pt>
                <c:pt idx="7">
                  <c:v>63</c:v>
                </c:pt>
                <c:pt idx="8">
                  <c:v>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5-415D-B091-FD0AFE23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67408"/>
        <c:axId val="1806672400"/>
      </c:scatterChart>
      <c:valAx>
        <c:axId val="180666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06672400"/>
        <c:crosses val="autoZero"/>
        <c:crossBetween val="midCat"/>
      </c:valAx>
      <c:valAx>
        <c:axId val="180667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806667408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корреляционное</a:t>
            </a:r>
            <a:r>
              <a:rPr lang="ru-RU" baseline="0"/>
              <a:t> поле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00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903813024241515"/>
                  <c:y val="-0.671662236031730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Лист1!$D$29:$D$37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Лист1!$E$29:$E$37</c:f>
              <c:numCache>
                <c:formatCode>General</c:formatCode>
                <c:ptCount val="9"/>
                <c:pt idx="0">
                  <c:v>5.2600000000000001E-2</c:v>
                </c:pt>
                <c:pt idx="1">
                  <c:v>4.7600000000000003E-2</c:v>
                </c:pt>
                <c:pt idx="2">
                  <c:v>4.3499999999999997E-2</c:v>
                </c:pt>
                <c:pt idx="3">
                  <c:v>3.5700000000000003E-2</c:v>
                </c:pt>
                <c:pt idx="4">
                  <c:v>3.0300000000000001E-2</c:v>
                </c:pt>
                <c:pt idx="5">
                  <c:v>2.1700000000000001E-2</c:v>
                </c:pt>
                <c:pt idx="6">
                  <c:v>1.67E-2</c:v>
                </c:pt>
                <c:pt idx="7">
                  <c:v>1.5900000000000001E-2</c:v>
                </c:pt>
                <c:pt idx="8">
                  <c:v>1.2800000000000001E-2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F-4C60-A422-8401FCAE2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577456"/>
        <c:axId val="2028594096"/>
      </c:scatterChart>
      <c:valAx>
        <c:axId val="202857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28594096"/>
        <c:crosses val="autoZero"/>
        <c:crossBetween val="midCat"/>
      </c:valAx>
      <c:valAx>
        <c:axId val="202859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028577456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00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448031496062992"/>
                  <c:y val="-0.233226159230096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BY"/>
                </a:p>
              </c:txPr>
            </c:trendlineLbl>
          </c:trendline>
          <c:xVal>
            <c:numRef>
              <c:f>Лист1!$A$54:$A$62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Лист1!$B$54:$B$62</c:f>
              <c:numCache>
                <c:formatCode>General</c:formatCode>
                <c:ptCount val="9"/>
                <c:pt idx="0">
                  <c:v>0</c:v>
                </c:pt>
                <c:pt idx="1">
                  <c:v>3.044522437723423</c:v>
                </c:pt>
                <c:pt idx="2">
                  <c:v>3.1354942159291497</c:v>
                </c:pt>
                <c:pt idx="3">
                  <c:v>3.3322045101752038</c:v>
                </c:pt>
                <c:pt idx="4">
                  <c:v>3.4965075614664802</c:v>
                </c:pt>
                <c:pt idx="5">
                  <c:v>3.8286413964890951</c:v>
                </c:pt>
                <c:pt idx="6">
                  <c:v>4.0943445622221004</c:v>
                </c:pt>
                <c:pt idx="7">
                  <c:v>4.1431347263915326</c:v>
                </c:pt>
                <c:pt idx="8">
                  <c:v>4.3567088266895917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E-41EF-9012-AD278EF1D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64240"/>
        <c:axId val="46679216"/>
      </c:scatterChart>
      <c:valAx>
        <c:axId val="4666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6679216"/>
        <c:crosses val="autoZero"/>
        <c:crossBetween val="midCat"/>
      </c:valAx>
      <c:valAx>
        <c:axId val="466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6664240"/>
        <c:crosses val="autoZero"/>
        <c:crossBetween val="midCat"/>
      </c:valAx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289560</xdr:colOff>
      <xdr:row>2</xdr:row>
      <xdr:rowOff>140970</xdr:rowOff>
    </xdr:from>
    <xdr:to>
      <xdr:col>17</xdr:col>
      <xdr:colOff>594360</xdr:colOff>
      <xdr:row>17</xdr:row>
      <xdr:rowOff>102870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7E611B-CBFD-4514-B303-F82FEB27F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312420</xdr:colOff>
      <xdr:row>19</xdr:row>
      <xdr:rowOff>140970</xdr:rowOff>
    </xdr:from>
    <xdr:to>
      <xdr:col>18</xdr:col>
      <xdr:colOff>7620</xdr:colOff>
      <xdr:row>34</xdr:row>
      <xdr:rowOff>140970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6E58475-2C63-4FC2-B17E-57D128744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554935</xdr:colOff>
      <xdr:row>36</xdr:row>
      <xdr:rowOff>69573</xdr:rowOff>
    </xdr:from>
    <xdr:to>
      <xdr:col>14</xdr:col>
      <xdr:colOff>223630</xdr:colOff>
      <xdr:row>51</xdr:row>
      <xdr:rowOff>71230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E76ED9B-1926-4ACE-AB86-151D44DDD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176695</xdr:colOff>
      <xdr:row>36</xdr:row>
      <xdr:rowOff>30921</xdr:rowOff>
    </xdr:from>
    <xdr:to>
      <xdr:col>22</xdr:col>
      <xdr:colOff>496956</xdr:colOff>
      <xdr:row>50</xdr:row>
      <xdr:rowOff>145773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9F24311-712A-4079-89CE-8CC80DB33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345141</xdr:colOff>
      <xdr:row>53</xdr:row>
      <xdr:rowOff>0</xdr:rowOff>
    </xdr:from>
    <xdr:to>
      <xdr:col>15</xdr:col>
      <xdr:colOff>40341</xdr:colOff>
      <xdr:row>68</xdr:row>
      <xdr:rowOff>35859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B8FF6B4-82FF-4FDF-B52B-8DCC2D828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7BC6-F903-467D-8687-6CF02F606A63}">
  <dimension ref="A1:M71"/>
  <sheetViews>
    <sheetView tabSelected="1" zoomScale="71" zoomScaleNormal="85" workbookViewId="0">
      <selection activeCell="H32" sqref="H32"/>
    </sheetView>
  </sheetViews>
  <sheetFormatPr defaultRowHeight="14.4" x14ac:dyDescent="0.3"/>
  <sheetData>
    <row r="1" spans="1:10" x14ac:dyDescent="0.3">
      <c r="A1" t="s">
        <v>0</v>
      </c>
      <c r="B1">
        <v>2</v>
      </c>
    </row>
    <row r="2" spans="1:10" x14ac:dyDescent="0.3">
      <c r="A2" t="s">
        <v>1</v>
      </c>
      <c r="B2" t="s">
        <v>4</v>
      </c>
    </row>
    <row r="3" spans="1:10" ht="15" thickBot="1" x14ac:dyDescent="0.35"/>
    <row r="4" spans="1:10" x14ac:dyDescent="0.3">
      <c r="A4" s="2" t="s">
        <v>2</v>
      </c>
      <c r="B4" s="4">
        <v>0</v>
      </c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6">
        <v>8</v>
      </c>
    </row>
    <row r="5" spans="1:10" ht="15" thickBot="1" x14ac:dyDescent="0.35">
      <c r="A5" s="3" t="s">
        <v>3</v>
      </c>
      <c r="B5" s="5">
        <v>19</v>
      </c>
      <c r="C5" s="5">
        <v>21</v>
      </c>
      <c r="D5" s="5">
        <v>23</v>
      </c>
      <c r="E5" s="5">
        <v>28</v>
      </c>
      <c r="F5" s="5">
        <v>33</v>
      </c>
      <c r="G5" s="5">
        <v>46</v>
      </c>
      <c r="H5" s="5">
        <v>60</v>
      </c>
      <c r="I5" s="5">
        <v>63</v>
      </c>
      <c r="J5" s="7">
        <v>78</v>
      </c>
    </row>
    <row r="6" spans="1:10" ht="15" thickBot="1" x14ac:dyDescent="0.35"/>
    <row r="7" spans="1:10" x14ac:dyDescent="0.3">
      <c r="A7" s="2"/>
      <c r="B7" s="4" t="s">
        <v>6</v>
      </c>
      <c r="C7" s="4" t="s">
        <v>7</v>
      </c>
      <c r="D7" s="4" t="s">
        <v>8</v>
      </c>
      <c r="E7" s="4" t="s">
        <v>9</v>
      </c>
      <c r="F7" s="6" t="s">
        <v>10</v>
      </c>
    </row>
    <row r="8" spans="1:10" x14ac:dyDescent="0.3">
      <c r="A8" s="8">
        <v>1</v>
      </c>
      <c r="B8" s="9">
        <v>0</v>
      </c>
      <c r="C8" s="9">
        <v>19</v>
      </c>
      <c r="D8" s="9">
        <f t="shared" ref="D8:D16" si="0">B8*C8</f>
        <v>0</v>
      </c>
      <c r="E8" s="9">
        <f t="shared" ref="E8:E16" si="1">B8^2</f>
        <v>0</v>
      </c>
      <c r="F8" s="10">
        <f t="shared" ref="F8:F16" si="2">C8^2</f>
        <v>361</v>
      </c>
    </row>
    <row r="9" spans="1:10" x14ac:dyDescent="0.3">
      <c r="A9" s="8">
        <v>2</v>
      </c>
      <c r="B9" s="9">
        <v>1</v>
      </c>
      <c r="C9" s="9">
        <v>21</v>
      </c>
      <c r="D9" s="9">
        <f t="shared" si="0"/>
        <v>21</v>
      </c>
      <c r="E9" s="9">
        <f t="shared" si="1"/>
        <v>1</v>
      </c>
      <c r="F9" s="10">
        <f t="shared" si="2"/>
        <v>441</v>
      </c>
    </row>
    <row r="10" spans="1:10" x14ac:dyDescent="0.3">
      <c r="A10" s="8">
        <v>3</v>
      </c>
      <c r="B10" s="9">
        <v>2</v>
      </c>
      <c r="C10" s="9">
        <v>23</v>
      </c>
      <c r="D10" s="9">
        <f t="shared" si="0"/>
        <v>46</v>
      </c>
      <c r="E10" s="9">
        <f t="shared" si="1"/>
        <v>4</v>
      </c>
      <c r="F10" s="10">
        <f t="shared" si="2"/>
        <v>529</v>
      </c>
    </row>
    <row r="11" spans="1:10" x14ac:dyDescent="0.3">
      <c r="A11" s="8">
        <v>4</v>
      </c>
      <c r="B11" s="9">
        <v>3</v>
      </c>
      <c r="C11" s="9">
        <v>28</v>
      </c>
      <c r="D11" s="9">
        <f t="shared" si="0"/>
        <v>84</v>
      </c>
      <c r="E11" s="9">
        <f t="shared" si="1"/>
        <v>9</v>
      </c>
      <c r="F11" s="10">
        <f t="shared" si="2"/>
        <v>784</v>
      </c>
    </row>
    <row r="12" spans="1:10" x14ac:dyDescent="0.3">
      <c r="A12" s="8">
        <v>5</v>
      </c>
      <c r="B12" s="9">
        <v>4</v>
      </c>
      <c r="C12" s="9">
        <v>33</v>
      </c>
      <c r="D12" s="9">
        <f t="shared" si="0"/>
        <v>132</v>
      </c>
      <c r="E12" s="9">
        <f t="shared" si="1"/>
        <v>16</v>
      </c>
      <c r="F12" s="10">
        <f t="shared" si="2"/>
        <v>1089</v>
      </c>
    </row>
    <row r="13" spans="1:10" x14ac:dyDescent="0.3">
      <c r="A13" s="8">
        <v>6</v>
      </c>
      <c r="B13" s="9">
        <v>5</v>
      </c>
      <c r="C13" s="9">
        <v>46</v>
      </c>
      <c r="D13" s="9">
        <f t="shared" si="0"/>
        <v>230</v>
      </c>
      <c r="E13" s="9">
        <f t="shared" si="1"/>
        <v>25</v>
      </c>
      <c r="F13" s="10">
        <f t="shared" si="2"/>
        <v>2116</v>
      </c>
    </row>
    <row r="14" spans="1:10" x14ac:dyDescent="0.3">
      <c r="A14" s="8">
        <v>7</v>
      </c>
      <c r="B14" s="9">
        <v>6</v>
      </c>
      <c r="C14" s="9">
        <v>60</v>
      </c>
      <c r="D14" s="9">
        <f t="shared" si="0"/>
        <v>360</v>
      </c>
      <c r="E14" s="9">
        <f t="shared" si="1"/>
        <v>36</v>
      </c>
      <c r="F14" s="10">
        <f t="shared" si="2"/>
        <v>3600</v>
      </c>
    </row>
    <row r="15" spans="1:10" x14ac:dyDescent="0.3">
      <c r="A15" s="8">
        <v>8</v>
      </c>
      <c r="B15" s="9">
        <v>7</v>
      </c>
      <c r="C15" s="9">
        <v>63</v>
      </c>
      <c r="D15" s="9">
        <f t="shared" si="0"/>
        <v>441</v>
      </c>
      <c r="E15" s="9">
        <f t="shared" si="1"/>
        <v>49</v>
      </c>
      <c r="F15" s="10">
        <f t="shared" si="2"/>
        <v>3969</v>
      </c>
    </row>
    <row r="16" spans="1:10" x14ac:dyDescent="0.3">
      <c r="A16" s="8">
        <v>9</v>
      </c>
      <c r="B16" s="9">
        <v>8</v>
      </c>
      <c r="C16" s="9">
        <v>78</v>
      </c>
      <c r="D16" s="9">
        <f t="shared" si="0"/>
        <v>624</v>
      </c>
      <c r="E16" s="9">
        <f t="shared" si="1"/>
        <v>64</v>
      </c>
      <c r="F16" s="10">
        <f t="shared" si="2"/>
        <v>6084</v>
      </c>
    </row>
    <row r="17" spans="1:6" ht="15" thickBot="1" x14ac:dyDescent="0.35">
      <c r="A17" s="3" t="s">
        <v>5</v>
      </c>
      <c r="B17" s="5">
        <f>SUM(B8:B16)</f>
        <v>36</v>
      </c>
      <c r="C17" s="5">
        <f>SUM(C8:C16)</f>
        <v>371</v>
      </c>
      <c r="D17" s="5">
        <f>SUM(D8:D16)</f>
        <v>1938</v>
      </c>
      <c r="E17" s="5">
        <f>SUM(E8:E16)</f>
        <v>204</v>
      </c>
      <c r="F17" s="7">
        <f>SUM(F8:F16)</f>
        <v>18973</v>
      </c>
    </row>
    <row r="18" spans="1:6" x14ac:dyDescent="0.3">
      <c r="A18" s="11" t="s">
        <v>11</v>
      </c>
      <c r="B18" s="11">
        <v>9</v>
      </c>
    </row>
    <row r="19" spans="1:6" x14ac:dyDescent="0.3">
      <c r="A19" s="9" t="s">
        <v>12</v>
      </c>
      <c r="B19" s="9">
        <f>CORREL(B8:B16, C8:C16)</f>
        <v>0.96623451166765173</v>
      </c>
      <c r="C19" s="9" t="s">
        <v>13</v>
      </c>
      <c r="D19" s="9">
        <f>ABS(B19)*SQRT((B18-2)/(1-B19^2))</f>
        <v>9.9215012303703798</v>
      </c>
      <c r="E19" s="9" t="s">
        <v>14</v>
      </c>
      <c r="F19" s="9">
        <f>_xlfn.T.INV.2T(0.05,B18-2)</f>
        <v>2.3646242515927849</v>
      </c>
    </row>
    <row r="20" spans="1:6" x14ac:dyDescent="0.3">
      <c r="A20" s="1" t="s">
        <v>15</v>
      </c>
    </row>
    <row r="21" spans="1:6" x14ac:dyDescent="0.3">
      <c r="A21" s="1" t="s">
        <v>16</v>
      </c>
      <c r="B21" s="1" t="s">
        <v>17</v>
      </c>
    </row>
    <row r="22" spans="1:6" x14ac:dyDescent="0.3">
      <c r="A22" s="1" t="s">
        <v>18</v>
      </c>
      <c r="B22" s="1" t="s">
        <v>19</v>
      </c>
    </row>
    <row r="23" spans="1:6" ht="15" thickBot="1" x14ac:dyDescent="0.35">
      <c r="A23" s="1" t="s">
        <v>20</v>
      </c>
      <c r="B23" s="1" t="s">
        <v>21</v>
      </c>
    </row>
    <row r="24" spans="1:6" ht="15" thickBot="1" x14ac:dyDescent="0.35">
      <c r="A24" s="1" t="s">
        <v>23</v>
      </c>
      <c r="B24" s="1" t="s">
        <v>22</v>
      </c>
      <c r="C24" s="20" t="s">
        <v>24</v>
      </c>
      <c r="D24" s="21" t="s">
        <v>25</v>
      </c>
      <c r="E24" s="22" t="s">
        <v>26</v>
      </c>
    </row>
    <row r="25" spans="1:6" x14ac:dyDescent="0.3">
      <c r="C25" t="s">
        <v>27</v>
      </c>
      <c r="D25" t="s">
        <v>28</v>
      </c>
      <c r="E25" t="s">
        <v>21</v>
      </c>
    </row>
    <row r="26" spans="1:6" x14ac:dyDescent="0.3">
      <c r="C26" t="s">
        <v>29</v>
      </c>
      <c r="D26" t="s">
        <v>28</v>
      </c>
      <c r="E26" t="s">
        <v>30</v>
      </c>
    </row>
    <row r="27" spans="1:6" ht="15" thickBot="1" x14ac:dyDescent="0.35"/>
    <row r="28" spans="1:6" ht="15" thickBot="1" x14ac:dyDescent="0.35">
      <c r="A28" s="12" t="s">
        <v>31</v>
      </c>
      <c r="B28" s="13" t="s">
        <v>7</v>
      </c>
      <c r="D28" s="12" t="s">
        <v>6</v>
      </c>
      <c r="E28" s="13" t="s">
        <v>32</v>
      </c>
    </row>
    <row r="29" spans="1:6" x14ac:dyDescent="0.3">
      <c r="A29" s="14">
        <v>0</v>
      </c>
      <c r="B29" s="15">
        <v>19</v>
      </c>
      <c r="D29" s="14">
        <v>0</v>
      </c>
      <c r="E29" s="15">
        <v>5.2600000000000001E-2</v>
      </c>
    </row>
    <row r="30" spans="1:6" x14ac:dyDescent="0.3">
      <c r="A30" s="16">
        <v>1</v>
      </c>
      <c r="B30" s="17">
        <v>21</v>
      </c>
      <c r="D30" s="16">
        <v>1</v>
      </c>
      <c r="E30" s="17">
        <v>4.7600000000000003E-2</v>
      </c>
    </row>
    <row r="31" spans="1:6" x14ac:dyDescent="0.3">
      <c r="A31" s="16">
        <v>0.5</v>
      </c>
      <c r="B31" s="17">
        <v>23</v>
      </c>
      <c r="D31" s="16">
        <v>2</v>
      </c>
      <c r="E31" s="17">
        <v>4.3499999999999997E-2</v>
      </c>
    </row>
    <row r="32" spans="1:6" x14ac:dyDescent="0.3">
      <c r="A32" s="16">
        <v>0.33</v>
      </c>
      <c r="B32" s="17">
        <v>28</v>
      </c>
      <c r="D32" s="16">
        <v>3</v>
      </c>
      <c r="E32" s="17">
        <v>3.5700000000000003E-2</v>
      </c>
    </row>
    <row r="33" spans="1:5" x14ac:dyDescent="0.3">
      <c r="A33" s="16">
        <v>0.25</v>
      </c>
      <c r="B33" s="17">
        <v>33</v>
      </c>
      <c r="D33" s="16">
        <v>4</v>
      </c>
      <c r="E33" s="17">
        <v>3.0300000000000001E-2</v>
      </c>
    </row>
    <row r="34" spans="1:5" x14ac:dyDescent="0.3">
      <c r="A34" s="16">
        <v>0.2</v>
      </c>
      <c r="B34" s="17">
        <v>46</v>
      </c>
      <c r="D34" s="16">
        <v>5</v>
      </c>
      <c r="E34" s="17">
        <v>2.1700000000000001E-2</v>
      </c>
    </row>
    <row r="35" spans="1:5" x14ac:dyDescent="0.3">
      <c r="A35" s="16">
        <v>0.16669999999999999</v>
      </c>
      <c r="B35" s="17">
        <v>60</v>
      </c>
      <c r="D35" s="16">
        <v>6</v>
      </c>
      <c r="E35" s="17">
        <v>1.67E-2</v>
      </c>
    </row>
    <row r="36" spans="1:5" x14ac:dyDescent="0.3">
      <c r="A36" s="16">
        <v>0.1429</v>
      </c>
      <c r="B36" s="17">
        <v>63</v>
      </c>
      <c r="D36" s="16">
        <v>7</v>
      </c>
      <c r="E36" s="17">
        <v>1.5900000000000001E-2</v>
      </c>
    </row>
    <row r="37" spans="1:5" ht="15" thickBot="1" x14ac:dyDescent="0.35">
      <c r="A37" s="18">
        <v>0.125</v>
      </c>
      <c r="B37" s="19">
        <v>78</v>
      </c>
      <c r="D37" s="18">
        <v>8</v>
      </c>
      <c r="E37" s="19">
        <v>1.2800000000000001E-2</v>
      </c>
    </row>
    <row r="52" spans="1:13" ht="15" thickBot="1" x14ac:dyDescent="0.35"/>
    <row r="53" spans="1:13" ht="15" thickBot="1" x14ac:dyDescent="0.35">
      <c r="A53" s="23" t="s">
        <v>33</v>
      </c>
      <c r="B53" s="24" t="s">
        <v>34</v>
      </c>
      <c r="C53" s="24" t="s">
        <v>8</v>
      </c>
      <c r="D53" s="24" t="s">
        <v>9</v>
      </c>
      <c r="E53" s="25" t="s">
        <v>10</v>
      </c>
      <c r="M53" t="s">
        <v>7</v>
      </c>
    </row>
    <row r="54" spans="1:13" x14ac:dyDescent="0.3">
      <c r="A54" s="26">
        <v>0</v>
      </c>
      <c r="B54" s="11">
        <f>LNC8</f>
        <v>0</v>
      </c>
      <c r="C54" s="11">
        <f t="shared" ref="C54:C62" si="3">A54*B54</f>
        <v>0</v>
      </c>
      <c r="D54" s="11">
        <f t="shared" ref="D54:D62" si="4">A54^2</f>
        <v>0</v>
      </c>
      <c r="E54" s="27">
        <f t="shared" ref="E54:E62" si="5">B54^2</f>
        <v>0</v>
      </c>
    </row>
    <row r="55" spans="1:13" x14ac:dyDescent="0.3">
      <c r="A55" s="8">
        <v>1</v>
      </c>
      <c r="B55" s="9">
        <f t="shared" ref="B55:B62" si="6">LN(C9)</f>
        <v>3.044522437723423</v>
      </c>
      <c r="C55" s="9">
        <f t="shared" si="3"/>
        <v>3.044522437723423</v>
      </c>
      <c r="D55" s="9">
        <f t="shared" si="4"/>
        <v>1</v>
      </c>
      <c r="E55" s="10">
        <f t="shared" si="5"/>
        <v>9.2691168738013747</v>
      </c>
    </row>
    <row r="56" spans="1:13" x14ac:dyDescent="0.3">
      <c r="A56" s="8">
        <v>2</v>
      </c>
      <c r="B56" s="9">
        <f t="shared" si="6"/>
        <v>3.1354942159291497</v>
      </c>
      <c r="C56" s="9">
        <f t="shared" si="3"/>
        <v>6.2709884318582994</v>
      </c>
      <c r="D56" s="9">
        <f t="shared" si="4"/>
        <v>4</v>
      </c>
      <c r="E56" s="10">
        <f t="shared" si="5"/>
        <v>9.8313239781251536</v>
      </c>
    </row>
    <row r="57" spans="1:13" x14ac:dyDescent="0.3">
      <c r="A57" s="8">
        <v>3</v>
      </c>
      <c r="B57" s="9">
        <f t="shared" si="6"/>
        <v>3.3322045101752038</v>
      </c>
      <c r="C57" s="9">
        <f t="shared" si="3"/>
        <v>9.996613530525611</v>
      </c>
      <c r="D57" s="9">
        <f t="shared" si="4"/>
        <v>9</v>
      </c>
      <c r="E57" s="10">
        <f t="shared" si="5"/>
        <v>11.10358689763197</v>
      </c>
    </row>
    <row r="58" spans="1:13" x14ac:dyDescent="0.3">
      <c r="A58" s="8">
        <v>4</v>
      </c>
      <c r="B58" s="9">
        <f t="shared" si="6"/>
        <v>3.4965075614664802</v>
      </c>
      <c r="C58" s="9">
        <f t="shared" si="3"/>
        <v>13.986030245865921</v>
      </c>
      <c r="D58" s="9">
        <f t="shared" si="4"/>
        <v>16</v>
      </c>
      <c r="E58" s="10">
        <f t="shared" si="5"/>
        <v>12.225565127392272</v>
      </c>
    </row>
    <row r="59" spans="1:13" x14ac:dyDescent="0.3">
      <c r="A59" s="8">
        <v>5</v>
      </c>
      <c r="B59" s="9">
        <f t="shared" si="6"/>
        <v>3.8286413964890951</v>
      </c>
      <c r="C59" s="9">
        <f t="shared" si="3"/>
        <v>19.143206982445477</v>
      </c>
      <c r="D59" s="9">
        <f t="shared" si="4"/>
        <v>25</v>
      </c>
      <c r="E59" s="10">
        <f t="shared" si="5"/>
        <v>14.658494942909968</v>
      </c>
    </row>
    <row r="60" spans="1:13" x14ac:dyDescent="0.3">
      <c r="A60" s="28">
        <v>6</v>
      </c>
      <c r="B60" s="29">
        <f t="shared" si="6"/>
        <v>4.0943445622221004</v>
      </c>
      <c r="C60" s="29">
        <f t="shared" si="3"/>
        <v>24.566067373332601</v>
      </c>
      <c r="D60" s="29">
        <f t="shared" si="4"/>
        <v>36</v>
      </c>
      <c r="E60" s="30">
        <f t="shared" si="5"/>
        <v>16.763657394197683</v>
      </c>
    </row>
    <row r="61" spans="1:13" x14ac:dyDescent="0.3">
      <c r="A61" s="8">
        <v>7</v>
      </c>
      <c r="B61" s="9">
        <f t="shared" si="6"/>
        <v>4.1431347263915326</v>
      </c>
      <c r="C61" s="9">
        <f t="shared" si="3"/>
        <v>29.001943084740727</v>
      </c>
      <c r="D61" s="9">
        <f t="shared" si="4"/>
        <v>49</v>
      </c>
      <c r="E61" s="10">
        <f t="shared" si="5"/>
        <v>17.16556536103144</v>
      </c>
    </row>
    <row r="62" spans="1:13" ht="15" thickBot="1" x14ac:dyDescent="0.35">
      <c r="A62" s="28">
        <v>8</v>
      </c>
      <c r="B62" s="29">
        <f t="shared" si="6"/>
        <v>4.3567088266895917</v>
      </c>
      <c r="C62" s="29">
        <f t="shared" si="3"/>
        <v>34.853670613516734</v>
      </c>
      <c r="D62" s="29">
        <f t="shared" si="4"/>
        <v>64</v>
      </c>
      <c r="E62" s="30">
        <f t="shared" si="5"/>
        <v>18.980911800554999</v>
      </c>
    </row>
    <row r="63" spans="1:13" ht="15" thickBot="1" x14ac:dyDescent="0.35">
      <c r="A63" s="23">
        <f>SUM(A54:A62)</f>
        <v>36</v>
      </c>
      <c r="B63" s="24">
        <f>SUM(B54:B62)</f>
        <v>29.431558237086577</v>
      </c>
      <c r="C63" s="24">
        <f>SUM(C54:C62)</f>
        <v>140.8630427000088</v>
      </c>
      <c r="D63" s="24">
        <f>SUM(D54:D62)</f>
        <v>204</v>
      </c>
      <c r="E63" s="25">
        <f>SUM(E54:E62)</f>
        <v>109.99822237564487</v>
      </c>
    </row>
    <row r="64" spans="1:13" x14ac:dyDescent="0.3">
      <c r="A64" t="s">
        <v>11</v>
      </c>
      <c r="B64">
        <v>9</v>
      </c>
    </row>
    <row r="65" spans="1:6" x14ac:dyDescent="0.3">
      <c r="A65" t="s">
        <v>12</v>
      </c>
      <c r="B65">
        <f>CORREL(A54:A62,B54:B62)</f>
        <v>0.80546375846576135</v>
      </c>
      <c r="C65" t="s">
        <v>13</v>
      </c>
      <c r="D65">
        <f>ABS(B65)*SQRT((B64-2)/(1-B65^2))</f>
        <v>3.595840141032816</v>
      </c>
      <c r="E65" t="s">
        <v>14</v>
      </c>
      <c r="F65">
        <f>_xlfn.T.INV.2T(0.05,B64-2)</f>
        <v>2.3646242515927849</v>
      </c>
    </row>
    <row r="66" spans="1:6" x14ac:dyDescent="0.3">
      <c r="A66" t="s">
        <v>15</v>
      </c>
    </row>
    <row r="67" spans="1:6" x14ac:dyDescent="0.3">
      <c r="A67">
        <v>9</v>
      </c>
      <c r="B67">
        <v>36</v>
      </c>
      <c r="D67">
        <v>29.43</v>
      </c>
    </row>
    <row r="68" spans="1:6" x14ac:dyDescent="0.3">
      <c r="A68">
        <v>36</v>
      </c>
      <c r="B68">
        <v>204</v>
      </c>
      <c r="D68">
        <v>140.9</v>
      </c>
    </row>
    <row r="70" spans="1:6" x14ac:dyDescent="0.3">
      <c r="A70" cm="1">
        <f t="array" ref="A70:B71">MINVERSE(A67:B68)</f>
        <v>0.37777777777777777</v>
      </c>
      <c r="B70">
        <v>-6.6666666666666666E-2</v>
      </c>
      <c r="C70" t="s">
        <v>20</v>
      </c>
      <c r="D70" cm="1">
        <f t="array" ref="D70:D71">MMULT(A70:B71,D67:D68)</f>
        <v>1.7246666666666659</v>
      </c>
      <c r="E70" t="s">
        <v>35</v>
      </c>
      <c r="F70">
        <f>EXP(D70)</f>
        <v>5.6106505011220031</v>
      </c>
    </row>
    <row r="71" spans="1:6" x14ac:dyDescent="0.3">
      <c r="A71">
        <v>-6.6666666666666666E-2</v>
      </c>
      <c r="B71">
        <v>1.6666666666666666E-2</v>
      </c>
      <c r="C71" t="s">
        <v>23</v>
      </c>
      <c r="D71">
        <v>0.38633333333333364</v>
      </c>
      <c r="E71" t="s">
        <v>36</v>
      </c>
      <c r="F71">
        <f>D71</f>
        <v>0.38633333333333364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Белова</dc:creator>
  <cp:lastModifiedBy>Anna Astashonok</cp:lastModifiedBy>
  <dcterms:created xsi:type="dcterms:W3CDTF">2025-11-11T15:15:58Z</dcterms:created>
  <dcterms:modified xsi:type="dcterms:W3CDTF">2025-11-30T10:19:42Z</dcterms:modified>
</cp:coreProperties>
</file>