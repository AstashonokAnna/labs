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ТерВер\"/>
    </mc:Choice>
  </mc:AlternateContent>
  <xr:revisionPtr revIDLastSave="0" documentId="8_{3C29BE86-DEE9-4028-B74E-272E69FDC125}" xr6:coauthVersionLast="47" xr6:coauthVersionMax="47" xr10:uidLastSave="{00000000-0000-0000-0000-000000000000}"/>
  <bookViews>
    <workbookView xWindow="-108" yWindow="-108" windowWidth="23256" windowHeight="12456" xr2:uid="{984C1494-6E14-4693-905C-2C000859B7F3}"/>
  </bookViews>
  <sheets>
    <sheet name="Лист1" sheetId="1" r:id="rId1"/>
  </sheets>
  <definedNames>
    <definedName name="_xlchart.v1.0" hidden="1">Лист1!$A$1:$A$33</definedName>
    <definedName name="_xlchart.v1.1" hidden="1">Лист1!$B$1:$B$33</definedName>
    <definedName name="_xlchart.v1.10" hidden="1">Лист1!$K$1:$K$33</definedName>
    <definedName name="_xlchart.v1.11" hidden="1">Лист1!$A$1:$A$33</definedName>
    <definedName name="_xlchart.v1.12" hidden="1">Лист1!$B$1:$B$33</definedName>
    <definedName name="_xlchart.v1.13" hidden="1">Лист1!$C$1:$C$33</definedName>
    <definedName name="_xlchart.v1.14" hidden="1">Лист1!$D$1:$D$33</definedName>
    <definedName name="_xlchart.v1.15" hidden="1">Лист1!$E$1:$E$33</definedName>
    <definedName name="_xlchart.v1.16" hidden="1">Лист1!$F$1:$F$33</definedName>
    <definedName name="_xlchart.v1.17" hidden="1">Лист1!$G$1:$G$33</definedName>
    <definedName name="_xlchart.v1.18" hidden="1">Лист1!$H$1:$H$33</definedName>
    <definedName name="_xlchart.v1.19" hidden="1">Лист1!$I$1:$I$33</definedName>
    <definedName name="_xlchart.v1.2" hidden="1">Лист1!$C$1:$C$33</definedName>
    <definedName name="_xlchart.v1.20" hidden="1">Лист1!$J$1:$J$33</definedName>
    <definedName name="_xlchart.v1.21" hidden="1">Лист1!$K$1:$K$33</definedName>
    <definedName name="_xlchart.v1.3" hidden="1">Лист1!$D$1:$D$33</definedName>
    <definedName name="_xlchart.v1.4" hidden="1">Лист1!$E$1:$E$33</definedName>
    <definedName name="_xlchart.v1.5" hidden="1">Лист1!$F$1:$F$33</definedName>
    <definedName name="_xlchart.v1.6" hidden="1">Лист1!$G$1:$G$33</definedName>
    <definedName name="_xlchart.v1.7" hidden="1">Лист1!$H$1:$H$33</definedName>
    <definedName name="_xlchart.v1.8" hidden="1">Лист1!$I$1:$I$33</definedName>
    <definedName name="_xlchart.v1.9" hidden="1">Лист1!$J$1:$J$33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H36" i="1"/>
  <c r="I33" i="1"/>
  <c r="I32" i="1"/>
  <c r="I31" i="1"/>
  <c r="I30" i="1"/>
  <c r="I29" i="1"/>
  <c r="I28" i="1"/>
  <c r="H33" i="1"/>
  <c r="H32" i="1"/>
  <c r="H31" i="1"/>
  <c r="H30" i="1"/>
  <c r="H29" i="1"/>
  <c r="H28" i="1"/>
  <c r="G33" i="1"/>
  <c r="G32" i="1"/>
  <c r="G31" i="1"/>
  <c r="G30" i="1"/>
  <c r="G29" i="1"/>
  <c r="G28" i="1"/>
  <c r="F33" i="1"/>
  <c r="F32" i="1"/>
  <c r="F31" i="1"/>
  <c r="F30" i="1"/>
  <c r="F29" i="1"/>
  <c r="F28" i="1"/>
  <c r="E33" i="1"/>
  <c r="E32" i="1"/>
  <c r="E31" i="1"/>
  <c r="E30" i="1"/>
  <c r="E29" i="1"/>
  <c r="E28" i="1"/>
  <c r="D33" i="1"/>
  <c r="D32" i="1"/>
  <c r="D31" i="1"/>
  <c r="D30" i="1"/>
  <c r="D29" i="1"/>
  <c r="D28" i="1"/>
  <c r="C33" i="1"/>
  <c r="C32" i="1"/>
  <c r="C31" i="1"/>
  <c r="C30" i="1"/>
  <c r="C29" i="1"/>
  <c r="D19" i="1"/>
  <c r="F19" i="1" s="1"/>
  <c r="C28" i="1"/>
  <c r="D17" i="1"/>
  <c r="E17" i="1" s="1"/>
  <c r="E36" i="1"/>
  <c r="D24" i="1"/>
  <c r="E24" i="1" s="1"/>
  <c r="D23" i="1"/>
  <c r="E23" i="1" s="1"/>
  <c r="D22" i="1"/>
  <c r="E22" i="1" s="1"/>
  <c r="D21" i="1"/>
  <c r="E21" i="1" s="1"/>
  <c r="D20" i="1"/>
  <c r="F20" i="1" s="1"/>
  <c r="C24" i="1"/>
  <c r="C23" i="1"/>
  <c r="C22" i="1"/>
  <c r="C21" i="1"/>
  <c r="C20" i="1"/>
  <c r="C19" i="1"/>
  <c r="C17" i="1"/>
  <c r="A18" i="1"/>
  <c r="D18" i="1" s="1"/>
  <c r="B13" i="1"/>
  <c r="E18" i="1" l="1"/>
  <c r="F18" i="1"/>
  <c r="C18" i="1"/>
  <c r="J15" i="1" s="1"/>
  <c r="J16" i="1" s="1"/>
  <c r="H17" i="1" s="1"/>
  <c r="H18" i="1" s="1"/>
  <c r="E19" i="1"/>
  <c r="E20" i="1"/>
  <c r="F17" i="1"/>
  <c r="F21" i="1"/>
  <c r="F22" i="1"/>
  <c r="F23" i="1"/>
  <c r="F24" i="1"/>
  <c r="D13" i="1"/>
  <c r="F13" i="1" s="1"/>
</calcChain>
</file>

<file path=xl/sharedStrings.xml><?xml version="1.0" encoding="utf-8"?>
<sst xmlns="http://schemas.openxmlformats.org/spreadsheetml/2006/main" count="34" uniqueCount="31">
  <si>
    <t>Количество интервалов</t>
  </si>
  <si>
    <t>k=</t>
  </si>
  <si>
    <t>min=</t>
  </si>
  <si>
    <t>max=</t>
  </si>
  <si>
    <t>W=</t>
  </si>
  <si>
    <t>Длина интервалов</t>
  </si>
  <si>
    <t>округляем</t>
  </si>
  <si>
    <t>h=</t>
  </si>
  <si>
    <t xml:space="preserve">Исходные данные </t>
  </si>
  <si>
    <t>Интервальный статический ряд</t>
  </si>
  <si>
    <t>[xi;</t>
  </si>
  <si>
    <t>xi+1)</t>
  </si>
  <si>
    <t>xi*</t>
  </si>
  <si>
    <t>ni</t>
  </si>
  <si>
    <t>ni/n</t>
  </si>
  <si>
    <t>ni/n/n</t>
  </si>
  <si>
    <t>Выборочное среднее x-cp=</t>
  </si>
  <si>
    <t>Выборочное дисперсии Dв=</t>
  </si>
  <si>
    <t>s2=</t>
  </si>
  <si>
    <t>s=</t>
  </si>
  <si>
    <t>Проверка гипотезы о законе распределения по критерию Пирсона</t>
  </si>
  <si>
    <t>pi</t>
  </si>
  <si>
    <t>n*pi</t>
  </si>
  <si>
    <t>ni-n*pi</t>
  </si>
  <si>
    <t>(ni-n*pi)^2</t>
  </si>
  <si>
    <t>(ni-n*pi)^2/npi</t>
  </si>
  <si>
    <t>ni^2/npi</t>
  </si>
  <si>
    <t>Суммы</t>
  </si>
  <si>
    <t>k-r-1=</t>
  </si>
  <si>
    <t>x2расч=</t>
  </si>
  <si>
    <t>x2крит=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</si>
</sst>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Segoe UI"/>
      <family val="2"/>
      <charset val="204"/>
    </font>
    <font>
      <sz val="10"/>
      <color theme="1"/>
      <name val="Consolas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66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5" fillId="0" borderId="0" xfId="0" applyFont="1"/>
    <xf numFmtId="0" fontId="4" fillId="0" borderId="0" xfId="0" applyFon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 относительных частот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Середины интервалов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Лист1!$C$17:$C$24</c:f>
              <c:numCache>
                <c:formatCode>General</c:formatCode>
                <c:ptCount val="8"/>
                <c:pt idx="0">
                  <c:v>14.15</c:v>
                </c:pt>
                <c:pt idx="1">
                  <c:v>18.450000000000003</c:v>
                </c:pt>
                <c:pt idx="2">
                  <c:v>22.75</c:v>
                </c:pt>
                <c:pt idx="3">
                  <c:v>27.049999999999997</c:v>
                </c:pt>
                <c:pt idx="4">
                  <c:v>31.35</c:v>
                </c:pt>
                <c:pt idx="5">
                  <c:v>35.65</c:v>
                </c:pt>
                <c:pt idx="6">
                  <c:v>39.950000000000003</c:v>
                </c:pt>
                <c:pt idx="7">
                  <c:v>44.25</c:v>
                </c:pt>
              </c:numCache>
            </c:numRef>
          </c:cat>
          <c:val>
            <c:numRef>
              <c:f>Лист1!$F$17:$F$24</c:f>
              <c:numCache>
                <c:formatCode>General</c:formatCode>
                <c:ptCount val="8"/>
                <c:pt idx="0">
                  <c:v>1.627906976744186E-2</c:v>
                </c:pt>
                <c:pt idx="1">
                  <c:v>1.8604651162790697E-2</c:v>
                </c:pt>
                <c:pt idx="2">
                  <c:v>3.4883720930232558E-2</c:v>
                </c:pt>
                <c:pt idx="3">
                  <c:v>5.5813953488372092E-2</c:v>
                </c:pt>
                <c:pt idx="4">
                  <c:v>4.1860465116279069E-2</c:v>
                </c:pt>
                <c:pt idx="5">
                  <c:v>2.3255813953488372E-2</c:v>
                </c:pt>
                <c:pt idx="6">
                  <c:v>3.0232558139534883E-2</c:v>
                </c:pt>
                <c:pt idx="7">
                  <c:v>1.1627906976744186E-2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B9D-4718-86E7-BC566DFE6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12"/>
        <c:axId val="599132296"/>
        <c:axId val="599133376"/>
      </c:barChart>
      <c:catAx>
        <c:axId val="599132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9133376"/>
        <c:crosses val="autoZero"/>
        <c:auto val="1"/>
        <c:lblAlgn val="ctr"/>
        <c:lblOffset val="100"/>
        <c:noMultiLvlLbl val="0"/>
      </c:catAx>
      <c:valAx>
        <c:axId val="59913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ni/n/n</a:t>
                </a:r>
                <a:endParaRPr lang="ru-RU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2.367688570444328E-2"/>
              <c:y val="0.37798993875765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9132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</xdr:row>
      <xdr:rowOff>170329</xdr:rowOff>
    </xdr:from>
    <xdr:to>
      <xdr:col>18</xdr:col>
      <xdr:colOff>0</xdr:colOff>
      <xdr:row>26</xdr:row>
      <xdr:rowOff>35859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623F8BB-A5F6-8817-40E4-74056EE25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C2BAD-C1AF-452C-A23E-94A72066D328}">
  <dimension ref="A1:K36"/>
  <sheetViews>
    <sheetView tabSelected="1" zoomScale="85" workbookViewId="0">
      <selection activeCell="T23" sqref="T23"/>
    </sheetView>
  </sheetViews>
  <sheetFormatPr defaultRowHeight="14.4" x14ac:dyDescent="0.3"/>
  <cols>
    <col min="1" max="1" width="9.109375" bestFit="1" customWidth="1"/>
    <col min="2" max="2" width="12" bestFit="1" customWidth="1"/>
    <col min="5" max="5" width="10.6640625" bestFit="1" customWidth="1"/>
  </cols>
  <sheetData>
    <row r="1" spans="1:10" x14ac:dyDescent="0.3">
      <c r="A1" s="4" t="s">
        <v>8</v>
      </c>
      <c r="B1" s="5"/>
      <c r="C1" s="5"/>
    </row>
    <row r="2" spans="1:10" ht="15" x14ac:dyDescent="0.3">
      <c r="A2" s="1">
        <v>36</v>
      </c>
      <c r="B2" s="1">
        <v>14</v>
      </c>
      <c r="C2" s="1">
        <v>40</v>
      </c>
      <c r="D2" s="1">
        <v>24</v>
      </c>
      <c r="E2" s="1">
        <v>30</v>
      </c>
      <c r="F2" s="1">
        <v>32</v>
      </c>
      <c r="G2" s="1">
        <v>24</v>
      </c>
      <c r="H2" s="1">
        <v>32</v>
      </c>
      <c r="I2" s="1">
        <v>29</v>
      </c>
      <c r="J2" s="1">
        <v>17</v>
      </c>
    </row>
    <row r="3" spans="1:10" ht="15" x14ac:dyDescent="0.3">
      <c r="A3" s="1">
        <v>26</v>
      </c>
      <c r="B3" s="1">
        <v>29</v>
      </c>
      <c r="C3" s="1">
        <v>33</v>
      </c>
      <c r="D3" s="1">
        <v>46</v>
      </c>
      <c r="E3" s="1">
        <v>38</v>
      </c>
      <c r="F3" s="1">
        <v>16</v>
      </c>
      <c r="G3" s="1">
        <v>44</v>
      </c>
      <c r="H3" s="1">
        <v>36</v>
      </c>
      <c r="I3" s="1">
        <v>18</v>
      </c>
      <c r="J3" s="1">
        <v>33</v>
      </c>
    </row>
    <row r="4" spans="1:10" ht="15" x14ac:dyDescent="0.3">
      <c r="A4" s="1">
        <v>36</v>
      </c>
      <c r="B4" s="1">
        <v>31</v>
      </c>
      <c r="C4" s="1">
        <v>24</v>
      </c>
      <c r="D4" s="1">
        <v>29</v>
      </c>
      <c r="E4" s="1">
        <v>30</v>
      </c>
      <c r="F4" s="1">
        <v>25</v>
      </c>
      <c r="G4" s="1">
        <v>16</v>
      </c>
      <c r="H4" s="1">
        <v>29</v>
      </c>
      <c r="I4" s="1">
        <v>38</v>
      </c>
      <c r="J4" s="1">
        <v>33</v>
      </c>
    </row>
    <row r="5" spans="1:10" ht="15" x14ac:dyDescent="0.3">
      <c r="A5" s="1">
        <v>34</v>
      </c>
      <c r="B5" s="1">
        <v>43</v>
      </c>
      <c r="C5" s="1">
        <v>31</v>
      </c>
      <c r="D5" s="1">
        <v>24</v>
      </c>
      <c r="E5" s="1">
        <v>23</v>
      </c>
      <c r="F5" s="1">
        <v>22</v>
      </c>
      <c r="G5" s="1">
        <v>18</v>
      </c>
      <c r="H5" s="1">
        <v>29</v>
      </c>
      <c r="I5" s="1">
        <v>34</v>
      </c>
      <c r="J5" s="1">
        <v>19</v>
      </c>
    </row>
    <row r="6" spans="1:10" ht="15" x14ac:dyDescent="0.3">
      <c r="A6" s="1">
        <v>24</v>
      </c>
      <c r="B6" s="1">
        <v>33</v>
      </c>
      <c r="C6" s="1">
        <v>36</v>
      </c>
      <c r="D6" s="1">
        <v>24</v>
      </c>
      <c r="E6" s="1">
        <v>17</v>
      </c>
      <c r="F6" s="1">
        <v>36</v>
      </c>
      <c r="G6" s="1">
        <v>12</v>
      </c>
      <c r="H6" s="1">
        <v>25</v>
      </c>
      <c r="I6" s="1">
        <v>40</v>
      </c>
      <c r="J6" s="1">
        <v>40</v>
      </c>
    </row>
    <row r="7" spans="1:10" ht="15" x14ac:dyDescent="0.3">
      <c r="A7" s="1">
        <v>29</v>
      </c>
      <c r="B7" s="1">
        <v>29</v>
      </c>
      <c r="C7" s="1">
        <v>16</v>
      </c>
      <c r="D7" s="1">
        <v>21</v>
      </c>
      <c r="E7" s="1">
        <v>29</v>
      </c>
      <c r="F7" s="1">
        <v>41</v>
      </c>
      <c r="G7" s="1">
        <v>30</v>
      </c>
      <c r="H7" s="1">
        <v>29</v>
      </c>
      <c r="I7" s="1">
        <v>31</v>
      </c>
      <c r="J7" s="1">
        <v>28</v>
      </c>
    </row>
    <row r="8" spans="1:10" ht="15" x14ac:dyDescent="0.3">
      <c r="A8" s="1">
        <v>17</v>
      </c>
      <c r="B8" s="1">
        <v>14</v>
      </c>
      <c r="C8" s="1">
        <v>30</v>
      </c>
      <c r="D8" s="1">
        <v>42</v>
      </c>
      <c r="E8" s="1">
        <v>45</v>
      </c>
      <c r="F8" s="1">
        <v>42</v>
      </c>
      <c r="G8" s="1">
        <v>42</v>
      </c>
      <c r="H8" s="1">
        <v>39</v>
      </c>
      <c r="I8" s="1">
        <v>26</v>
      </c>
      <c r="J8" s="1">
        <v>28</v>
      </c>
    </row>
    <row r="9" spans="1:10" ht="15" x14ac:dyDescent="0.3">
      <c r="A9" s="1">
        <v>37</v>
      </c>
      <c r="B9" s="1">
        <v>45</v>
      </c>
      <c r="C9" s="1">
        <v>28</v>
      </c>
      <c r="D9" s="1">
        <v>32</v>
      </c>
      <c r="E9" s="1">
        <v>38</v>
      </c>
      <c r="F9" s="1">
        <v>28</v>
      </c>
      <c r="G9" s="1">
        <v>23</v>
      </c>
      <c r="H9" s="1">
        <v>23</v>
      </c>
      <c r="I9" s="1">
        <v>23</v>
      </c>
      <c r="J9" s="1">
        <v>42</v>
      </c>
    </row>
    <row r="10" spans="1:10" ht="15" x14ac:dyDescent="0.3">
      <c r="A10" s="1">
        <v>22</v>
      </c>
      <c r="B10" s="1">
        <v>25</v>
      </c>
      <c r="C10" s="1">
        <v>30</v>
      </c>
      <c r="D10" s="1">
        <v>18</v>
      </c>
      <c r="E10" s="1">
        <v>20</v>
      </c>
      <c r="F10" s="1">
        <v>29</v>
      </c>
      <c r="G10" s="1">
        <v>38</v>
      </c>
      <c r="H10" s="1">
        <v>21</v>
      </c>
      <c r="I10" s="1">
        <v>25</v>
      </c>
      <c r="J10" s="1">
        <v>30</v>
      </c>
    </row>
    <row r="11" spans="1:10" ht="15" x14ac:dyDescent="0.3">
      <c r="A11" s="1">
        <v>29</v>
      </c>
      <c r="B11" s="1">
        <v>16</v>
      </c>
      <c r="C11" s="1">
        <v>21</v>
      </c>
      <c r="D11" s="1">
        <v>30</v>
      </c>
      <c r="E11" s="1">
        <v>26</v>
      </c>
      <c r="F11" s="1">
        <v>26</v>
      </c>
      <c r="G11" s="1">
        <v>31</v>
      </c>
      <c r="H11" s="1">
        <v>26</v>
      </c>
      <c r="I11" s="1">
        <v>36</v>
      </c>
      <c r="J11" s="1">
        <v>37</v>
      </c>
    </row>
    <row r="12" spans="1:10" x14ac:dyDescent="0.3">
      <c r="A12" s="2" t="s">
        <v>0</v>
      </c>
      <c r="B12" s="2"/>
      <c r="C12" s="2"/>
      <c r="D12" t="s">
        <v>1</v>
      </c>
      <c r="E12" s="3">
        <v>8</v>
      </c>
    </row>
    <row r="13" spans="1:10" x14ac:dyDescent="0.3">
      <c r="A13" t="s">
        <v>2</v>
      </c>
      <c r="B13" s="3">
        <f>MIN(A1:J10)</f>
        <v>12</v>
      </c>
      <c r="C13" t="s">
        <v>3</v>
      </c>
      <c r="D13">
        <f>MAX(A1:J10)</f>
        <v>46</v>
      </c>
      <c r="E13" t="s">
        <v>4</v>
      </c>
      <c r="F13">
        <f>D13-B13</f>
        <v>34</v>
      </c>
    </row>
    <row r="14" spans="1:10" x14ac:dyDescent="0.3">
      <c r="A14" s="2" t="s">
        <v>5</v>
      </c>
      <c r="B14" s="2"/>
      <c r="C14" s="2"/>
      <c r="E14" t="s">
        <v>6</v>
      </c>
      <c r="F14" t="s">
        <v>7</v>
      </c>
      <c r="G14">
        <v>4.3</v>
      </c>
    </row>
    <row r="15" spans="1:10" x14ac:dyDescent="0.3">
      <c r="A15" s="4" t="s">
        <v>9</v>
      </c>
      <c r="B15" s="4"/>
      <c r="C15" s="4"/>
      <c r="D15" s="4"/>
      <c r="E15" s="4"/>
      <c r="F15" s="4"/>
      <c r="G15" s="2" t="s">
        <v>16</v>
      </c>
      <c r="H15" s="2"/>
      <c r="I15" s="2"/>
      <c r="J15">
        <f>SUMPRODUCT(C17:C24,D17:D24)/100</f>
        <v>28.984999999999999</v>
      </c>
    </row>
    <row r="16" spans="1:10" x14ac:dyDescent="0.3">
      <c r="A16" s="6" t="s">
        <v>10</v>
      </c>
      <c r="B16" s="6" t="s">
        <v>11</v>
      </c>
      <c r="C16" s="6" t="s">
        <v>12</v>
      </c>
      <c r="D16" s="6" t="s">
        <v>13</v>
      </c>
      <c r="E16" s="6" t="s">
        <v>14</v>
      </c>
      <c r="F16" s="6" t="s">
        <v>15</v>
      </c>
      <c r="G16" s="2" t="s">
        <v>17</v>
      </c>
      <c r="H16" s="2"/>
      <c r="I16" s="2"/>
      <c r="J16">
        <f>SUMPRODUCT(C17:C24,C17:C24,D17:D24)/100 - J15^2</f>
        <v>63.744275000000016</v>
      </c>
    </row>
    <row r="17" spans="1:11" x14ac:dyDescent="0.3">
      <c r="A17">
        <v>12</v>
      </c>
      <c r="B17">
        <v>16.3</v>
      </c>
      <c r="C17" s="8">
        <f>(A17+B17)/2</f>
        <v>14.15</v>
      </c>
      <c r="D17">
        <f>COUNTIFS($A$2:$J$11,"&gt;="&amp;A17,$A$2:$J$11,"&lt;"&amp;B17)</f>
        <v>7</v>
      </c>
      <c r="E17">
        <f>D17/100</f>
        <v>7.0000000000000007E-2</v>
      </c>
      <c r="F17">
        <f>D17/(100*$G$14)</f>
        <v>1.627906976744186E-2</v>
      </c>
      <c r="G17" t="s">
        <v>18</v>
      </c>
      <c r="H17">
        <f>100/99*J16</f>
        <v>64.388156565656587</v>
      </c>
    </row>
    <row r="18" spans="1:11" x14ac:dyDescent="0.3">
      <c r="A18">
        <f>16.3</f>
        <v>16.3</v>
      </c>
      <c r="B18">
        <v>20.6</v>
      </c>
      <c r="C18">
        <f>(A18+B18)/2</f>
        <v>18.450000000000003</v>
      </c>
      <c r="D18">
        <f>COUNTIFS($A$2:$J$11,"&gt;="&amp;A18,$A$2:$J$11,"&lt;"&amp;B18)</f>
        <v>8</v>
      </c>
      <c r="E18">
        <f>D18/100</f>
        <v>0.08</v>
      </c>
      <c r="F18">
        <f>D18/(100*$G$14)</f>
        <v>1.8604651162790697E-2</v>
      </c>
      <c r="G18" t="s">
        <v>19</v>
      </c>
      <c r="H18">
        <f>SQRT(H17)</f>
        <v>8.0242231129036146</v>
      </c>
    </row>
    <row r="19" spans="1:11" x14ac:dyDescent="0.3">
      <c r="A19">
        <v>20.6</v>
      </c>
      <c r="B19">
        <v>24.9</v>
      </c>
      <c r="C19">
        <f>(A19+B19)/2</f>
        <v>22.75</v>
      </c>
      <c r="D19" s="7">
        <f>COUNTIFS($A$2:$J$11,"&gt;="&amp;A19,$A$2:$J$11,"&lt;"&amp;B19)</f>
        <v>15</v>
      </c>
      <c r="E19">
        <f>D19/100</f>
        <v>0.15</v>
      </c>
      <c r="F19">
        <f>D19/(100*$G$14)</f>
        <v>3.4883720930232558E-2</v>
      </c>
    </row>
    <row r="20" spans="1:11" x14ac:dyDescent="0.3">
      <c r="A20">
        <v>24.9</v>
      </c>
      <c r="B20">
        <v>29.2</v>
      </c>
      <c r="C20">
        <f>(A20+B20)/2</f>
        <v>27.049999999999997</v>
      </c>
      <c r="D20">
        <f>COUNTIFS($A$2:$J$11,"&gt;="&amp;A20,$A$2:$J$11,"&lt;"&amp;B20)</f>
        <v>24</v>
      </c>
      <c r="E20">
        <f>D20/100</f>
        <v>0.24</v>
      </c>
      <c r="F20">
        <f>D20/(100*$G$14)</f>
        <v>5.5813953488372092E-2</v>
      </c>
    </row>
    <row r="21" spans="1:11" x14ac:dyDescent="0.3">
      <c r="A21">
        <v>29.2</v>
      </c>
      <c r="B21">
        <v>33.5</v>
      </c>
      <c r="C21">
        <f>(A21+B21)/2</f>
        <v>31.35</v>
      </c>
      <c r="D21">
        <f>COUNTIFS($A$2:$J$11,"&gt;="&amp;A21,$A$2:$J$11,"&lt;"&amp;B21)</f>
        <v>18</v>
      </c>
      <c r="E21">
        <f>D21/100</f>
        <v>0.18</v>
      </c>
      <c r="F21">
        <f>D21/(100*$G$14)</f>
        <v>4.1860465116279069E-2</v>
      </c>
    </row>
    <row r="22" spans="1:11" x14ac:dyDescent="0.3">
      <c r="A22">
        <v>33.5</v>
      </c>
      <c r="B22">
        <v>37.799999999999997</v>
      </c>
      <c r="C22">
        <f>(A22+B22)/2</f>
        <v>35.65</v>
      </c>
      <c r="D22">
        <f>COUNTIFS($A$2:$J$11,"&gt;="&amp;A22,$A$2:$J$11,"&lt;"&amp;B22)</f>
        <v>10</v>
      </c>
      <c r="E22">
        <f>D22/100</f>
        <v>0.1</v>
      </c>
      <c r="F22">
        <f>D22/(100*$G$14)</f>
        <v>2.3255813953488372E-2</v>
      </c>
    </row>
    <row r="23" spans="1:11" x14ac:dyDescent="0.3">
      <c r="A23">
        <v>37.799999999999997</v>
      </c>
      <c r="B23">
        <v>42.1</v>
      </c>
      <c r="C23">
        <f>(A23+B23)/2</f>
        <v>39.950000000000003</v>
      </c>
      <c r="D23">
        <f>COUNTIFS($A$2:$J$11,"&gt;="&amp;A23,$A$2:$J$11,"&lt;"&amp;B23)</f>
        <v>13</v>
      </c>
      <c r="E23">
        <f>D23/100</f>
        <v>0.13</v>
      </c>
      <c r="F23">
        <f>D23/(100*$G$14)</f>
        <v>3.0232558139534883E-2</v>
      </c>
    </row>
    <row r="24" spans="1:11" x14ac:dyDescent="0.3">
      <c r="A24">
        <v>42.1</v>
      </c>
      <c r="B24">
        <v>46.4</v>
      </c>
      <c r="C24">
        <f>(A24+B24)/2</f>
        <v>44.25</v>
      </c>
      <c r="D24">
        <f>COUNTIFS($A$2:$J$11,"&gt;="&amp;A24,$A$2:$J$11,"&lt;"&amp;B24)</f>
        <v>5</v>
      </c>
      <c r="E24">
        <f>D24/100</f>
        <v>0.05</v>
      </c>
      <c r="F24">
        <f>D24/(100*$G$14)</f>
        <v>1.1627906976744186E-2</v>
      </c>
    </row>
    <row r="25" spans="1:11" x14ac:dyDescent="0.3">
      <c r="D25">
        <v>100</v>
      </c>
    </row>
    <row r="26" spans="1:11" x14ac:dyDescent="0.3">
      <c r="A26" s="4" t="s">
        <v>20</v>
      </c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x14ac:dyDescent="0.3">
      <c r="A27" s="6" t="s">
        <v>10</v>
      </c>
      <c r="B27" s="6" t="s">
        <v>11</v>
      </c>
      <c r="C27" s="6" t="s">
        <v>13</v>
      </c>
      <c r="D27" s="6" t="s">
        <v>21</v>
      </c>
      <c r="E27" s="6" t="s">
        <v>22</v>
      </c>
      <c r="F27" s="6" t="s">
        <v>23</v>
      </c>
      <c r="G27" s="6" t="s">
        <v>24</v>
      </c>
      <c r="H27" s="6" t="s">
        <v>25</v>
      </c>
      <c r="I27" s="6" t="s">
        <v>26</v>
      </c>
    </row>
    <row r="28" spans="1:11" x14ac:dyDescent="0.3">
      <c r="A28" s="9">
        <v>-10000000000</v>
      </c>
      <c r="B28">
        <v>20.6</v>
      </c>
      <c r="C28">
        <f>COUNTIFS($A$2:$J$11,"&gt;="&amp;A28,$A$2:$J$11,"&lt;"&amp;B28)</f>
        <v>15</v>
      </c>
      <c r="D28">
        <f>_xlfn.NORM.DIST(16.3,29.57,7.57,TRUE)- _xlfn.NORM.DIST(-1000,29.57,7.57,TRUE)</f>
        <v>3.9803384481393422E-2</v>
      </c>
      <c r="E28">
        <f>100*C2</f>
        <v>4000</v>
      </c>
      <c r="F28">
        <f>B2-D2</f>
        <v>-10</v>
      </c>
      <c r="G28">
        <f>E2^2</f>
        <v>900</v>
      </c>
      <c r="H28">
        <f>F2/D2</f>
        <v>1.3333333333333333</v>
      </c>
      <c r="I28">
        <f>B2^2/D2</f>
        <v>8.1666666666666661</v>
      </c>
    </row>
    <row r="29" spans="1:11" x14ac:dyDescent="0.3">
      <c r="A29">
        <v>20.6</v>
      </c>
      <c r="B29">
        <v>24.9</v>
      </c>
      <c r="C29">
        <f>COUNTIFS($A$2:$J$11,"&gt;="&amp;A29,$A$2:$J$11,"&lt;"&amp;B29)</f>
        <v>15</v>
      </c>
      <c r="D29">
        <f>_xlfn.NORM.DIST(20.6,29.57,7.57,TRUE)-_xlfn.NORM.DIST(16.3,29.57,7.57,TRUE)</f>
        <v>7.8217091151755042E-2</v>
      </c>
      <c r="E29">
        <f>100*C3</f>
        <v>3300</v>
      </c>
      <c r="F29">
        <f>B3-D3</f>
        <v>-17</v>
      </c>
      <c r="G29">
        <f>E3^2</f>
        <v>1444</v>
      </c>
      <c r="H29">
        <f>F3/D3</f>
        <v>0.34782608695652173</v>
      </c>
      <c r="I29" s="7">
        <f>B3^2/D3</f>
        <v>18.282608695652176</v>
      </c>
    </row>
    <row r="30" spans="1:11" x14ac:dyDescent="0.3">
      <c r="A30">
        <v>24.9</v>
      </c>
      <c r="B30">
        <v>29.2</v>
      </c>
      <c r="C30">
        <f>COUNTIFS($A$2:$J$11,"&gt;="&amp;A30,$A$2:$J$11,"&lt;"&amp;B30)</f>
        <v>24</v>
      </c>
      <c r="D30">
        <f>_xlfn.NORM.DIST(24.9,29.57,7.57,TRUE)-_xlfn.NORM.DIST(20.6,29.57,7.57,TRUE)</f>
        <v>0.15062694867754697</v>
      </c>
      <c r="E30">
        <f>100*C4</f>
        <v>2400</v>
      </c>
      <c r="F30">
        <f>B4-D4</f>
        <v>2</v>
      </c>
      <c r="G30">
        <f>E4^2</f>
        <v>900</v>
      </c>
      <c r="H30">
        <f>F4/D4</f>
        <v>0.86206896551724133</v>
      </c>
      <c r="I30">
        <f>B4^2/D4</f>
        <v>33.137931034482762</v>
      </c>
    </row>
    <row r="31" spans="1:11" x14ac:dyDescent="0.3">
      <c r="A31">
        <v>29.2</v>
      </c>
      <c r="B31">
        <v>33.5</v>
      </c>
      <c r="C31">
        <f>COUNTIFS($A$2:$J$11,"&gt;="&amp;A31,$A$2:$J$11,"&lt;"&amp;B31)</f>
        <v>18</v>
      </c>
      <c r="D31">
        <f>_xlfn.NORM.DIST(29.2,29.57,7.57,TRUE)-_xlfn.NORM.DIST(24.9,29.57,7.57,TRUE)</f>
        <v>0.21186117640722341</v>
      </c>
      <c r="E31">
        <f>100*C5</f>
        <v>3100</v>
      </c>
      <c r="F31">
        <f>B5-D5</f>
        <v>19</v>
      </c>
      <c r="G31">
        <f>E5^2</f>
        <v>529</v>
      </c>
      <c r="H31">
        <f>F5/D5</f>
        <v>0.91666666666666663</v>
      </c>
      <c r="I31">
        <f>B5^2/D5</f>
        <v>77.041666666666671</v>
      </c>
    </row>
    <row r="32" spans="1:11" x14ac:dyDescent="0.3">
      <c r="A32">
        <v>33.5</v>
      </c>
      <c r="B32">
        <v>37.799999999999997</v>
      </c>
      <c r="C32">
        <f>COUNTIFS($A$2:$J$11,"&gt;="&amp;A32,$A$2:$J$11,"&lt;"&amp;B32)</f>
        <v>10</v>
      </c>
      <c r="D32">
        <f>_xlfn.NORM.DIST(33.5,29.57,7.57,TRUE)-_xlfn.NORM.DIST(29.2,29.57,7.57,TRUE)</f>
        <v>0.21766491660265802</v>
      </c>
      <c r="E32">
        <f>100*C6</f>
        <v>3600</v>
      </c>
      <c r="F32">
        <f>B6-D6</f>
        <v>9</v>
      </c>
      <c r="G32">
        <f>E6^2</f>
        <v>289</v>
      </c>
      <c r="H32">
        <f>F6/D6</f>
        <v>1.5</v>
      </c>
      <c r="I32">
        <f>B6^2/D6</f>
        <v>45.375</v>
      </c>
    </row>
    <row r="33" spans="1:9" x14ac:dyDescent="0.3">
      <c r="A33">
        <v>37.799999999999997</v>
      </c>
      <c r="B33" s="9">
        <v>10000000000</v>
      </c>
      <c r="C33">
        <f>COUNTIFS($A$2:$J$11,"&gt;="&amp;A33,$A$2:$J$11,"&lt;"&amp;B33)</f>
        <v>18</v>
      </c>
      <c r="D33">
        <f>_xlfn.NORM.DIST(1000,29.57,7.57,TRUE)-_xlfn.NORM.DIST(42.1,29.57,7.57,TRUE)</f>
        <v>4.8940146114092808E-2</v>
      </c>
      <c r="E33">
        <f>100*C7</f>
        <v>1600</v>
      </c>
      <c r="F33">
        <f>B7-D7</f>
        <v>8</v>
      </c>
      <c r="G33">
        <f>E7^2</f>
        <v>841</v>
      </c>
      <c r="H33">
        <f>F7/D7</f>
        <v>1.9523809523809523</v>
      </c>
      <c r="I33">
        <f>B7^2/D7</f>
        <v>40.047619047619051</v>
      </c>
    </row>
    <row r="34" spans="1:9" x14ac:dyDescent="0.3">
      <c r="B34" s="9"/>
    </row>
    <row r="35" spans="1:9" x14ac:dyDescent="0.3">
      <c r="A35" t="s">
        <v>27</v>
      </c>
      <c r="C35">
        <v>100</v>
      </c>
      <c r="D35">
        <v>1</v>
      </c>
      <c r="E35">
        <v>100</v>
      </c>
      <c r="G35" t="s">
        <v>29</v>
      </c>
      <c r="H35">
        <f>SUM(G2:G7)</f>
        <v>144</v>
      </c>
      <c r="I35">
        <v>222.05146999999999</v>
      </c>
    </row>
    <row r="36" spans="1:9" x14ac:dyDescent="0.3">
      <c r="D36" t="s">
        <v>28</v>
      </c>
      <c r="E36">
        <f>8-2-1</f>
        <v>5</v>
      </c>
      <c r="G36" t="s">
        <v>30</v>
      </c>
      <c r="H36">
        <f>_xlfn.CHISQ.INV.RT(0.05,3)</f>
        <v>7.8147279032511792</v>
      </c>
    </row>
  </sheetData>
  <mergeCells count="7">
    <mergeCell ref="A26:K26"/>
    <mergeCell ref="A1:C1"/>
    <mergeCell ref="A12:C12"/>
    <mergeCell ref="A14:C14"/>
    <mergeCell ref="A15:F15"/>
    <mergeCell ref="G16:I16"/>
    <mergeCell ref="G15:I15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5EFB8BC1-ADD3-495D-A202-D719A339882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Лист1!G24:G24</xm:f>
              <xm:sqref>K19</xm:sqref>
            </x14:sparkline>
            <x14:sparkline>
              <xm:f>Лист1!H24:H24</xm:f>
              <xm:sqref>L19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Astashonok</dc:creator>
  <cp:lastModifiedBy>Anna Astashonok</cp:lastModifiedBy>
  <dcterms:created xsi:type="dcterms:W3CDTF">2025-11-17T19:19:36Z</dcterms:created>
  <dcterms:modified xsi:type="dcterms:W3CDTF">2025-11-17T22:56:56Z</dcterms:modified>
</cp:coreProperties>
</file>