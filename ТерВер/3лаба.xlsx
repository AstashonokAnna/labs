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ТерВер\"/>
    </mc:Choice>
  </mc:AlternateContent>
  <xr:revisionPtr revIDLastSave="0" documentId="8_{F4FA0BD6-7188-4EE1-AFA6-08CDD6AFA928}" xr6:coauthVersionLast="47" xr6:coauthVersionMax="47" xr10:uidLastSave="{00000000-0000-0000-0000-000000000000}"/>
  <bookViews>
    <workbookView xWindow="-108" yWindow="-108" windowWidth="23256" windowHeight="12456" xr2:uid="{F4F4261E-3B42-433F-8E0B-9C926034D32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4" i="1"/>
  <c r="F6" i="1"/>
  <c r="E1" i="1"/>
  <c r="F5" i="1" s="1"/>
  <c r="D5" i="1"/>
  <c r="Q6" i="1"/>
  <c r="Q5" i="1"/>
  <c r="Q3" i="1"/>
  <c r="Q2" i="1"/>
  <c r="P3" i="1"/>
  <c r="P2" i="1"/>
  <c r="O3" i="1"/>
  <c r="O2" i="1"/>
  <c r="N3" i="1"/>
  <c r="N2" i="1"/>
</calcChain>
</file>

<file path=xl/sharedStrings.xml><?xml version="1.0" encoding="utf-8"?>
<sst xmlns="http://schemas.openxmlformats.org/spreadsheetml/2006/main" count="46" uniqueCount="36">
  <si>
    <t>перекрестная шлифовка</t>
  </si>
  <si>
    <t>торцевая обточка</t>
  </si>
  <si>
    <t>n</t>
  </si>
  <si>
    <t>x-mean</t>
  </si>
  <si>
    <t>s2</t>
  </si>
  <si>
    <t>f</t>
  </si>
  <si>
    <t>f=</t>
  </si>
  <si>
    <t>f округл=</t>
  </si>
  <si>
    <t>s2=</t>
  </si>
  <si>
    <t>кол-во степеней свободы</t>
  </si>
  <si>
    <t>F-расч=</t>
  </si>
  <si>
    <t>t-расч=</t>
  </si>
  <si>
    <t>F-табл=</t>
  </si>
  <si>
    <t>t-табл=</t>
  </si>
  <si>
    <t>двухвыборочный F-тест для дисперсии</t>
  </si>
  <si>
    <t>среднее</t>
  </si>
  <si>
    <t>дисперсия</t>
  </si>
  <si>
    <t>наблюдения</t>
  </si>
  <si>
    <t>df</t>
  </si>
  <si>
    <t>F</t>
  </si>
  <si>
    <t>P(F&lt;=f) односторонне</t>
  </si>
  <si>
    <t>F критическое</t>
  </si>
  <si>
    <t>двухвыборочный t-тест с различными дисперсиями</t>
  </si>
  <si>
    <t>гипотетическая разность средних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</si>
  <si>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</si>
  <si>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</si>
  <si>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</si>
  <si>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</si>
  <si>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</si>
  <si>
    <t>а1 = а2</t>
  </si>
  <si>
    <t>независ</t>
  </si>
  <si>
    <t>не однор</t>
  </si>
  <si>
    <t>4 пункт теории случай 2</t>
  </si>
  <si>
    <t>t-расч &lt; t-табл =&gt; гипотеза принимается</t>
  </si>
  <si>
    <t xml:space="preserve">перекрестная шлифовка </t>
  </si>
  <si>
    <t>alpha=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</si>
</sst>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medium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medium">
        <color theme="9" tint="-0.499984740745262"/>
      </bottom>
      <diagonal/>
    </border>
    <border>
      <left style="thin">
        <color theme="9" tint="-0.499984740745262"/>
      </left>
      <right/>
      <top style="medium">
        <color theme="9" tint="-0.499984740745262"/>
      </top>
      <bottom style="thin">
        <color theme="9" tint="-0.499984740745262"/>
      </bottom>
      <diagonal/>
    </border>
    <border>
      <left/>
      <right style="medium">
        <color theme="9" tint="-0.499984740745262"/>
      </right>
      <top style="thin">
        <color theme="9" tint="-0.499984740745262"/>
      </top>
      <bottom style="medium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medium">
        <color theme="9" tint="-0.499984740745262"/>
      </right>
      <top/>
      <bottom/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 style="medium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medium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medium">
        <color theme="9" tint="-0.499984740745262"/>
      </top>
      <bottom/>
      <diagonal/>
    </border>
    <border>
      <left/>
      <right style="thin">
        <color theme="9" tint="-0.499984740745262"/>
      </right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medium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/>
      <top style="thin">
        <color theme="9" tint="-0.499984740745262"/>
      </top>
      <bottom style="medium">
        <color theme="9" tint="-0.499984740745262"/>
      </bottom>
      <diagonal/>
    </border>
    <border>
      <left/>
      <right/>
      <top style="thin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9" xfId="0" applyFill="1" applyBorder="1"/>
    <xf numFmtId="0" fontId="0" fillId="2" borderId="36" xfId="0" applyFill="1" applyBorder="1"/>
    <xf numFmtId="0" fontId="0" fillId="2" borderId="37" xfId="0" applyFill="1" applyBorder="1"/>
    <xf numFmtId="0" fontId="0" fillId="2" borderId="8" xfId="0" applyFill="1" applyBorder="1"/>
    <xf numFmtId="0" fontId="0" fillId="2" borderId="38" xfId="0" applyFill="1" applyBorder="1"/>
    <xf numFmtId="0" fontId="0" fillId="2" borderId="39" xfId="0" applyFill="1" applyBorder="1"/>
    <xf numFmtId="0" fontId="0" fillId="2" borderId="40" xfId="0" applyFill="1" applyBorder="1"/>
    <xf numFmtId="0" fontId="0" fillId="2" borderId="33" xfId="0" applyFill="1" applyBorder="1"/>
    <xf numFmtId="0" fontId="0" fillId="2" borderId="7" xfId="0" applyFill="1" applyBorder="1"/>
    <xf numFmtId="0" fontId="0" fillId="2" borderId="9" xfId="0" applyFill="1" applyBorder="1"/>
    <xf numFmtId="0" fontId="0" fillId="2" borderId="14" xfId="0" applyFill="1" applyBorder="1"/>
    <xf numFmtId="0" fontId="0" fillId="2" borderId="12" xfId="0" applyFill="1" applyBorder="1"/>
    <xf numFmtId="0" fontId="0" fillId="2" borderId="6" xfId="0" applyFill="1" applyBorder="1"/>
    <xf numFmtId="0" fontId="0" fillId="2" borderId="13" xfId="0" applyFill="1" applyBorder="1"/>
    <xf numFmtId="0" fontId="0" fillId="2" borderId="19" xfId="0" applyFill="1" applyBorder="1"/>
    <xf numFmtId="0" fontId="0" fillId="2" borderId="21" xfId="0" applyFill="1" applyBorder="1"/>
    <xf numFmtId="0" fontId="0" fillId="2" borderId="20" xfId="0" applyFill="1" applyBorder="1"/>
    <xf numFmtId="0" fontId="0" fillId="2" borderId="15" xfId="0" applyFill="1" applyBorder="1"/>
    <xf numFmtId="0" fontId="0" fillId="2" borderId="18" xfId="0" applyFill="1" applyBorder="1"/>
    <xf numFmtId="0" fontId="0" fillId="2" borderId="11" xfId="0" applyFill="1" applyBorder="1"/>
    <xf numFmtId="0" fontId="0" fillId="2" borderId="17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16" xfId="0" applyFill="1" applyBorder="1"/>
    <xf numFmtId="0" fontId="0" fillId="2" borderId="10" xfId="0" applyFill="1" applyBorder="1"/>
    <xf numFmtId="0" fontId="0" fillId="2" borderId="35" xfId="0" applyFill="1" applyBorder="1"/>
    <xf numFmtId="0" fontId="0" fillId="2" borderId="34" xfId="0" applyFill="1" applyBorder="1"/>
    <xf numFmtId="0" fontId="0" fillId="2" borderId="30" xfId="0" applyFill="1" applyBorder="1"/>
    <xf numFmtId="0" fontId="0" fillId="2" borderId="27" xfId="0" applyFill="1" applyBorder="1"/>
    <xf numFmtId="0" fontId="0" fillId="2" borderId="42" xfId="0" applyFill="1" applyBorder="1"/>
    <xf numFmtId="0" fontId="0" fillId="2" borderId="43" xfId="0" applyFill="1" applyBorder="1"/>
    <xf numFmtId="0" fontId="0" fillId="2" borderId="32" xfId="0" applyFill="1" applyBorder="1"/>
    <xf numFmtId="0" fontId="0" fillId="2" borderId="31" xfId="0" applyFill="1" applyBorder="1"/>
    <xf numFmtId="0" fontId="0" fillId="2" borderId="28" xfId="0" applyFill="1" applyBorder="1"/>
    <xf numFmtId="0" fontId="0" fillId="2" borderId="41" xfId="0" applyFill="1" applyBorder="1"/>
    <xf numFmtId="0" fontId="0" fillId="3" borderId="26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ED53-EB51-407D-97A0-A0BE5756D844}">
  <dimension ref="A1:Q25"/>
  <sheetViews>
    <sheetView tabSelected="1" zoomScaleNormal="100" workbookViewId="0">
      <selection activeCell="C19" sqref="C19"/>
    </sheetView>
  </sheetViews>
  <sheetFormatPr defaultRowHeight="14.4" x14ac:dyDescent="0.3"/>
  <sheetData>
    <row r="1" spans="1:17" x14ac:dyDescent="0.3">
      <c r="D1" s="1" t="s">
        <v>35</v>
      </c>
      <c r="E1" s="1">
        <f>0.05</f>
        <v>0.05</v>
      </c>
      <c r="N1" s="22" t="s">
        <v>2</v>
      </c>
      <c r="O1" s="22" t="s">
        <v>3</v>
      </c>
      <c r="P1" s="28" t="s">
        <v>4</v>
      </c>
      <c r="Q1" s="28" t="s">
        <v>5</v>
      </c>
    </row>
    <row r="2" spans="1:17" ht="15" thickBot="1" x14ac:dyDescent="0.35">
      <c r="N2" s="19">
        <f>COUNT(D3:M3)</f>
        <v>10</v>
      </c>
      <c r="O2" s="19">
        <f>AVERAGE(D3:M3)</f>
        <v>17.399999999999999</v>
      </c>
      <c r="P2" s="20">
        <f>_xlfn.VAR.S(D3:M3)</f>
        <v>3.6000000000000103</v>
      </c>
      <c r="Q2" s="20">
        <f>N2-1</f>
        <v>9</v>
      </c>
    </row>
    <row r="3" spans="1:17" ht="15" thickBot="1" x14ac:dyDescent="0.35">
      <c r="A3" s="2" t="s">
        <v>0</v>
      </c>
      <c r="B3" s="3"/>
      <c r="C3" s="4"/>
      <c r="D3" s="2">
        <v>16</v>
      </c>
      <c r="E3" s="3">
        <v>20</v>
      </c>
      <c r="F3" s="3">
        <v>14</v>
      </c>
      <c r="G3" s="3">
        <v>15</v>
      </c>
      <c r="H3" s="3">
        <v>19</v>
      </c>
      <c r="I3" s="3">
        <v>18</v>
      </c>
      <c r="J3" s="3">
        <v>18</v>
      </c>
      <c r="K3" s="3">
        <v>17</v>
      </c>
      <c r="L3" s="12">
        <v>19</v>
      </c>
      <c r="M3" s="12">
        <v>18</v>
      </c>
      <c r="N3" s="19">
        <f>COUNT(D4:M4)</f>
        <v>10</v>
      </c>
      <c r="O3" s="19">
        <f>AVERAGE(D4:M4)</f>
        <v>15.1</v>
      </c>
      <c r="P3" s="20">
        <f>_xlfn.VAR.S(D4:M4)</f>
        <v>10.10000000000001</v>
      </c>
      <c r="Q3" s="20">
        <f>N3-1</f>
        <v>9</v>
      </c>
    </row>
    <row r="4" spans="1:17" ht="15" thickBot="1" x14ac:dyDescent="0.35">
      <c r="A4" s="5" t="s">
        <v>1</v>
      </c>
      <c r="B4" s="6"/>
      <c r="C4" s="7"/>
      <c r="D4" s="5">
        <v>13</v>
      </c>
      <c r="E4" s="8">
        <v>14</v>
      </c>
      <c r="F4" s="8">
        <v>19</v>
      </c>
      <c r="G4" s="21">
        <v>15</v>
      </c>
      <c r="H4" s="21">
        <v>14</v>
      </c>
      <c r="I4" s="21">
        <v>10</v>
      </c>
      <c r="J4" s="21">
        <v>17</v>
      </c>
      <c r="K4" s="21">
        <v>13</v>
      </c>
      <c r="L4" s="17">
        <v>21</v>
      </c>
      <c r="M4" s="17">
        <v>15</v>
      </c>
      <c r="N4" s="22"/>
      <c r="O4" s="23"/>
      <c r="P4" s="24"/>
      <c r="Q4" s="25"/>
    </row>
    <row r="5" spans="1:17" x14ac:dyDescent="0.3">
      <c r="A5" s="9" t="s">
        <v>10</v>
      </c>
      <c r="B5" s="10"/>
      <c r="C5" s="10"/>
      <c r="D5" s="11">
        <f>P3/P2</f>
        <v>2.8055555555555505</v>
      </c>
      <c r="E5" s="12" t="s">
        <v>12</v>
      </c>
      <c r="F5" s="13">
        <f>_xlfn.F.INV.RT(E1/2,Q2,Q3)</f>
        <v>4.0259941582829777</v>
      </c>
      <c r="H5" s="9" t="s">
        <v>6</v>
      </c>
      <c r="I5" s="13">
        <v>18</v>
      </c>
      <c r="J5" s="1" t="s">
        <v>9</v>
      </c>
      <c r="K5" s="1"/>
      <c r="L5" s="1"/>
      <c r="N5" s="19"/>
      <c r="O5" s="29"/>
      <c r="P5" s="30" t="s">
        <v>6</v>
      </c>
      <c r="Q5" s="31">
        <f>(P2/N2+P3/N3)^2/((P2/N2)^2/(N2-1)+(P3/N3)^2/(N3-1))</f>
        <v>14.692615464903895</v>
      </c>
    </row>
    <row r="6" spans="1:17" ht="15" thickBot="1" x14ac:dyDescent="0.35">
      <c r="A6" s="14" t="s">
        <v>11</v>
      </c>
      <c r="B6" s="15"/>
      <c r="C6" s="15"/>
      <c r="D6" s="16">
        <v>1.96</v>
      </c>
      <c r="E6" s="17" t="s">
        <v>13</v>
      </c>
      <c r="F6" s="18">
        <f>_xlfn.T.INV.2T(E1,H4)</f>
        <v>2.1447866879178044</v>
      </c>
      <c r="H6" s="26" t="s">
        <v>8</v>
      </c>
      <c r="I6" s="27">
        <v>6.85</v>
      </c>
      <c r="N6" s="26"/>
      <c r="O6" s="27"/>
      <c r="P6" s="32" t="s">
        <v>7</v>
      </c>
      <c r="Q6" s="33">
        <f>ROUNDUP(Q5,0)</f>
        <v>15</v>
      </c>
    </row>
    <row r="8" spans="1:17" x14ac:dyDescent="0.3">
      <c r="A8" s="34" t="s">
        <v>14</v>
      </c>
      <c r="B8" s="32"/>
      <c r="C8" s="32"/>
      <c r="D8" s="33"/>
      <c r="I8" s="34" t="s">
        <v>22</v>
      </c>
      <c r="J8" s="32"/>
      <c r="K8" s="32"/>
      <c r="L8" s="32"/>
      <c r="M8" s="33"/>
    </row>
    <row r="9" spans="1:17" ht="15" thickBot="1" x14ac:dyDescent="0.35"/>
    <row r="10" spans="1:17" ht="15" thickBot="1" x14ac:dyDescent="0.35">
      <c r="A10" s="22" t="s">
        <v>0</v>
      </c>
      <c r="B10" s="23"/>
      <c r="C10" s="36"/>
      <c r="D10" s="36"/>
      <c r="E10" s="35" t="s">
        <v>1</v>
      </c>
      <c r="F10" s="1"/>
      <c r="I10" s="22" t="s">
        <v>34</v>
      </c>
      <c r="J10" s="23"/>
      <c r="K10" s="23"/>
      <c r="L10" s="23"/>
      <c r="M10" s="23"/>
      <c r="N10" s="23" t="s">
        <v>1</v>
      </c>
      <c r="O10" s="35"/>
    </row>
    <row r="11" spans="1:17" x14ac:dyDescent="0.3">
      <c r="A11" s="22" t="s">
        <v>15</v>
      </c>
      <c r="B11" s="23"/>
      <c r="C11" s="36"/>
      <c r="D11" s="36">
        <v>17.399999999999999</v>
      </c>
      <c r="E11" s="35">
        <v>15.1</v>
      </c>
      <c r="I11" s="22" t="s">
        <v>15</v>
      </c>
      <c r="J11" s="23"/>
      <c r="K11" s="23"/>
      <c r="L11" s="36"/>
      <c r="M11" s="23">
        <v>17.399999999999999</v>
      </c>
      <c r="N11" s="37">
        <v>15.1</v>
      </c>
      <c r="O11" s="35"/>
    </row>
    <row r="12" spans="1:17" x14ac:dyDescent="0.3">
      <c r="A12" s="19" t="s">
        <v>16</v>
      </c>
      <c r="B12" s="1"/>
      <c r="C12" s="38"/>
      <c r="D12" s="39">
        <v>3.6</v>
      </c>
      <c r="E12" s="29">
        <v>10.1</v>
      </c>
      <c r="I12" s="19" t="s">
        <v>16</v>
      </c>
      <c r="J12" s="1"/>
      <c r="K12" s="1"/>
      <c r="L12" s="38"/>
      <c r="M12" s="1">
        <v>3.6</v>
      </c>
      <c r="N12" s="39">
        <v>10.1</v>
      </c>
      <c r="O12" s="29"/>
    </row>
    <row r="13" spans="1:17" x14ac:dyDescent="0.3">
      <c r="A13" s="19" t="s">
        <v>17</v>
      </c>
      <c r="B13" s="1"/>
      <c r="C13" s="38"/>
      <c r="D13" s="39">
        <v>10</v>
      </c>
      <c r="E13" s="29">
        <v>10</v>
      </c>
      <c r="I13" s="19" t="s">
        <v>17</v>
      </c>
      <c r="J13" s="1"/>
      <c r="K13" s="1"/>
      <c r="L13" s="38"/>
      <c r="M13" s="1">
        <v>10</v>
      </c>
      <c r="N13" s="39">
        <v>10</v>
      </c>
      <c r="O13" s="29"/>
    </row>
    <row r="14" spans="1:17" x14ac:dyDescent="0.3">
      <c r="A14" s="19" t="s">
        <v>18</v>
      </c>
      <c r="B14" s="1"/>
      <c r="C14" s="38"/>
      <c r="D14" s="39">
        <v>9</v>
      </c>
      <c r="E14" s="1">
        <v>9</v>
      </c>
      <c r="F14" s="34" t="s">
        <v>10</v>
      </c>
      <c r="G14" s="33">
        <f>1/D15</f>
        <v>2.8055555555555514</v>
      </c>
      <c r="I14" s="19" t="s">
        <v>23</v>
      </c>
      <c r="J14" s="1"/>
      <c r="K14" s="1"/>
      <c r="L14" s="38"/>
      <c r="M14" s="1">
        <v>0</v>
      </c>
      <c r="N14" s="39"/>
      <c r="O14" s="29"/>
    </row>
    <row r="15" spans="1:17" x14ac:dyDescent="0.3">
      <c r="A15" s="19" t="s">
        <v>19</v>
      </c>
      <c r="B15" s="1"/>
      <c r="C15" s="38"/>
      <c r="D15" s="39">
        <v>0.35643564356435697</v>
      </c>
      <c r="E15" s="29"/>
      <c r="I15" s="19" t="s">
        <v>18</v>
      </c>
      <c r="J15" s="1"/>
      <c r="K15" s="1"/>
      <c r="L15" s="38"/>
      <c r="M15" s="1">
        <v>15</v>
      </c>
      <c r="N15" s="39"/>
      <c r="O15" s="29"/>
    </row>
    <row r="16" spans="1:17" x14ac:dyDescent="0.3">
      <c r="A16" s="19" t="s">
        <v>20</v>
      </c>
      <c r="B16" s="1"/>
      <c r="C16" s="38"/>
      <c r="D16" s="39">
        <v>7.0173592370303295E-2</v>
      </c>
      <c r="E16" s="1"/>
      <c r="F16" s="34" t="s">
        <v>12</v>
      </c>
      <c r="G16" s="33">
        <f>1/D17</f>
        <v>4.0259941582829759</v>
      </c>
      <c r="I16" s="19" t="s">
        <v>24</v>
      </c>
      <c r="J16" s="1"/>
      <c r="K16" s="1"/>
      <c r="L16" s="38"/>
      <c r="M16" s="1">
        <v>1.9650226127485499</v>
      </c>
      <c r="N16" s="39"/>
      <c r="O16" s="29"/>
    </row>
    <row r="17" spans="1:15" ht="15" thickBot="1" x14ac:dyDescent="0.35">
      <c r="A17" s="26" t="s">
        <v>21</v>
      </c>
      <c r="B17" s="40"/>
      <c r="C17" s="41"/>
      <c r="D17" s="42">
        <v>0.24838585469445501</v>
      </c>
      <c r="E17" s="27"/>
      <c r="I17" s="19" t="s">
        <v>25</v>
      </c>
      <c r="J17" s="1"/>
      <c r="K17" s="1"/>
      <c r="L17" s="38"/>
      <c r="M17" s="1">
        <v>3.4105432949225599E-2</v>
      </c>
      <c r="N17" s="39"/>
      <c r="O17" s="29"/>
    </row>
    <row r="18" spans="1:15" ht="15" thickBot="1" x14ac:dyDescent="0.35">
      <c r="I18" s="19" t="s">
        <v>26</v>
      </c>
      <c r="J18" s="1"/>
      <c r="K18" s="1"/>
      <c r="L18" s="38"/>
      <c r="M18" s="1">
        <v>1.7530503556925701</v>
      </c>
      <c r="N18" s="39"/>
      <c r="O18" s="29"/>
    </row>
    <row r="19" spans="1:15" ht="15" thickBot="1" x14ac:dyDescent="0.35">
      <c r="C19" s="44"/>
      <c r="I19" s="19" t="s">
        <v>27</v>
      </c>
      <c r="J19" s="1"/>
      <c r="K19" s="1"/>
      <c r="L19" s="38"/>
      <c r="M19" s="1">
        <v>6.8210865898451295E-2</v>
      </c>
      <c r="N19" s="39"/>
      <c r="O19" s="29"/>
    </row>
    <row r="20" spans="1:15" ht="15" thickBot="1" x14ac:dyDescent="0.35">
      <c r="I20" s="26" t="s">
        <v>28</v>
      </c>
      <c r="J20" s="40"/>
      <c r="K20" s="40"/>
      <c r="L20" s="41"/>
      <c r="M20" s="40">
        <v>2.1314495455597702</v>
      </c>
      <c r="N20" s="42"/>
      <c r="O20" s="27"/>
    </row>
    <row r="21" spans="1:15" x14ac:dyDescent="0.3">
      <c r="A21" s="1" t="s">
        <v>29</v>
      </c>
    </row>
    <row r="22" spans="1:15" x14ac:dyDescent="0.3">
      <c r="A22" s="1" t="s">
        <v>30</v>
      </c>
    </row>
    <row r="23" spans="1:15" ht="15" thickBot="1" x14ac:dyDescent="0.35"/>
    <row r="24" spans="1:15" ht="15" thickBot="1" x14ac:dyDescent="0.35">
      <c r="A24" s="1" t="s">
        <v>31</v>
      </c>
      <c r="E24" s="43" t="s">
        <v>33</v>
      </c>
      <c r="F24" s="24"/>
      <c r="G24" s="24"/>
      <c r="H24" s="25"/>
    </row>
    <row r="25" spans="1:15" x14ac:dyDescent="0.3">
      <c r="A25" s="1" t="s">
        <v>32</v>
      </c>
      <c r="B25" s="1"/>
      <c r="C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Белова</dc:creator>
  <cp:lastModifiedBy>Anna Astashonok</cp:lastModifiedBy>
  <dcterms:created xsi:type="dcterms:W3CDTF">2025-11-12T13:51:34Z</dcterms:created>
  <dcterms:modified xsi:type="dcterms:W3CDTF">2025-11-30T10:27:25Z</dcterms:modified>
</cp:coreProperties>
</file>